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uoc\SM2-2025\CAPSTONE PTY4614-006V\Grupos\Grupo 9 Larco Zurita\Fase 3\Evidencias Grupales\"/>
    </mc:Choice>
  </mc:AlternateContent>
  <xr:revisionPtr revIDLastSave="0" documentId="13_ncr:1_{ADAC4E38-06C7-4E86-906A-8F4C99604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  <c r="B62" i="1"/>
  <c r="B49" i="1"/>
  <c r="B78" i="1"/>
  <c r="B79" i="1"/>
  <c r="B80" i="1"/>
  <c r="B81" i="1"/>
  <c r="B82" i="1"/>
  <c r="B83" i="1"/>
  <c r="B77" i="1"/>
  <c r="B65" i="1"/>
  <c r="B66" i="1"/>
  <c r="B67" i="1"/>
  <c r="B68" i="1"/>
  <c r="B69" i="1"/>
  <c r="B70" i="1"/>
  <c r="B64" i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7" i="1"/>
  <c r="K77" i="1" s="1"/>
  <c r="H77" i="1"/>
  <c r="I77" i="1" s="1"/>
  <c r="F77" i="1"/>
  <c r="G77" i="1" s="1"/>
  <c r="D77" i="1"/>
  <c r="E77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J64" i="1"/>
  <c r="K64" i="1" s="1"/>
  <c r="H64" i="1"/>
  <c r="I64" i="1" s="1"/>
  <c r="F64" i="1"/>
  <c r="G64" i="1" s="1"/>
  <c r="D64" i="1"/>
  <c r="E64" i="1" s="1"/>
  <c r="B36" i="1"/>
  <c r="B23" i="1"/>
  <c r="B10" i="1"/>
  <c r="B52" i="1"/>
  <c r="B53" i="1"/>
  <c r="B54" i="1"/>
  <c r="B55" i="1"/>
  <c r="B56" i="1"/>
  <c r="B57" i="1"/>
  <c r="B51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G51" i="1"/>
  <c r="F51" i="1"/>
  <c r="D51" i="1"/>
  <c r="E51" i="1" s="1"/>
  <c r="B39" i="1"/>
  <c r="B40" i="1"/>
  <c r="B41" i="1"/>
  <c r="B42" i="1"/>
  <c r="B43" i="1"/>
  <c r="B44" i="1"/>
  <c r="B26" i="1"/>
  <c r="B27" i="1"/>
  <c r="B28" i="1"/>
  <c r="B29" i="1"/>
  <c r="B30" i="1"/>
  <c r="B31" i="1"/>
  <c r="B38" i="1"/>
  <c r="B25" i="1"/>
  <c r="B12" i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8" i="1"/>
  <c r="K38" i="1" s="1"/>
  <c r="H38" i="1"/>
  <c r="I38" i="1" s="1"/>
  <c r="F38" i="1"/>
  <c r="G38" i="1" s="1"/>
  <c r="D38" i="1"/>
  <c r="E38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J25" i="1"/>
  <c r="K25" i="1" s="1"/>
  <c r="H25" i="1"/>
  <c r="I25" i="1" s="1"/>
  <c r="F25" i="1"/>
  <c r="G25" i="1" s="1"/>
  <c r="D25" i="1"/>
  <c r="E25" i="1" s="1"/>
  <c r="E71" i="1" l="1"/>
  <c r="G45" i="1"/>
  <c r="E32" i="1"/>
  <c r="G32" i="1"/>
  <c r="K84" i="1"/>
  <c r="E84" i="1"/>
  <c r="I84" i="1"/>
  <c r="G84" i="1"/>
  <c r="G71" i="1"/>
  <c r="I71" i="1"/>
  <c r="K71" i="1"/>
  <c r="E58" i="1"/>
  <c r="K58" i="1"/>
  <c r="G58" i="1"/>
  <c r="I58" i="1"/>
  <c r="K45" i="1"/>
  <c r="I45" i="1"/>
  <c r="E45" i="1"/>
  <c r="I32" i="1"/>
  <c r="K32" i="1"/>
  <c r="C32" i="1" l="1"/>
  <c r="C33" i="1" s="1"/>
  <c r="C5" i="1" s="1"/>
  <c r="C45" i="1"/>
  <c r="C46" i="1" s="1"/>
  <c r="C71" i="1"/>
  <c r="C72" i="1" s="1"/>
  <c r="D5" i="1" s="1"/>
  <c r="C58" i="1"/>
  <c r="C59" i="1" s="1"/>
  <c r="D4" i="1" s="1"/>
  <c r="C84" i="1"/>
  <c r="C85" i="1" s="1"/>
  <c r="B13" i="1" l="1"/>
  <c r="B14" i="1"/>
  <c r="B15" i="1"/>
  <c r="B16" i="1"/>
  <c r="B17" i="1"/>
  <c r="B18" i="1"/>
  <c r="D12" i="1" l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F16" i="1" l="1"/>
  <c r="G16" i="1" s="1"/>
  <c r="H16" i="1"/>
  <c r="I16" i="1" s="1"/>
  <c r="J16" i="1"/>
  <c r="K16" i="1" s="1"/>
  <c r="J18" i="1"/>
  <c r="K18" i="1" s="1"/>
  <c r="H18" i="1"/>
  <c r="I18" i="1" s="1"/>
  <c r="F18" i="1"/>
  <c r="G18" i="1" s="1"/>
  <c r="J17" i="1"/>
  <c r="K17" i="1" s="1"/>
  <c r="H17" i="1"/>
  <c r="I17" i="1" s="1"/>
  <c r="F17" i="1"/>
  <c r="G17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H13" i="1"/>
  <c r="I13" i="1" s="1"/>
  <c r="F13" i="1"/>
  <c r="G13" i="1" s="1"/>
  <c r="J12" i="1"/>
  <c r="K12" i="1" s="1"/>
  <c r="H12" i="1"/>
  <c r="I12" i="1" s="1"/>
  <c r="F12" i="1"/>
  <c r="G12" i="1" s="1"/>
  <c r="E19" i="1" l="1"/>
  <c r="G19" i="1"/>
  <c r="I19" i="1"/>
  <c r="K13" i="1"/>
  <c r="K19" i="1" l="1"/>
  <c r="C19" i="1" s="1"/>
  <c r="C20" i="1" s="1"/>
  <c r="C4" i="1" s="1"/>
  <c r="E5" i="1" l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<sst xmlns="http://schemas.openxmlformats.org/spreadsheetml/2006/main" count="163" uniqueCount="65">
  <si>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</si>
  <si>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</si>
  <si>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</si>
  <si>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</si>
  <si>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</si>
  <si>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</si>
  <si>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</si>
  <si>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</si>
  <si>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</si>
  <si>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</si>
  <si>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</si>
  <si>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</si>
  <si>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</si>
  <si>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</si>
  <si>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</si>
  <si>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</si>
  <si>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</si>
  <si>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</si>
  <si>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</si>
  <si>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</si>
  <si>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</si>
  <si>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</si>
  <si>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</si>
  <si>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</si>
  <si>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</si>
  <si>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</si>
  <si>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</si>
  <si>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</si>
  <si>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</si>
  <si>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</si>
  <si>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</si>
  <si>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</si>
  <si>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</si>
  <si>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</si>
  <si>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</si>
  <si>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</si>
  <si>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</si>
  <si>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</si>
  <si>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</si>
  <si>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</si>
  <si>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</si>
  <si>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</si>
  <si>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</si>
  <si>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</si>
  <si>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</si>
  <si>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</si>
  <si>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</si>
  <si>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</si>
  <si>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</si>
  <si>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</si>
  <si>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</si>
  <si>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</si>
  <si>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</si>
  <si>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</si>
  <si>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</si>
  <si>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</si>
  <si>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</si>
  <si>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</si>
  <si>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</si>
  <si>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</si>
  <si>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</si>
  <si>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</si>
  <si>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</si>
  <si>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DAVID ANDRES ZURITA CORVALAN</t>
  </si>
  <si>
    <t>BRUCE LARCO RIQUELME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</si>
</sst>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6"/>
  <sheetViews>
    <sheetView tabSelected="1" zoomScale="120" zoomScaleNormal="120" workbookViewId="0">
      <selection activeCell="A6" sqref="A6:XFD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C20</f>
        <v>6.3</v>
      </c>
      <c r="D4" s="37">
        <f>C59</f>
        <v>6.3</v>
      </c>
      <c r="E4" s="36">
        <f>C4*C$2+D4*D$2</f>
        <v>6.2999999999999989</v>
      </c>
    </row>
    <row r="5" spans="1:11" x14ac:dyDescent="0.25">
      <c r="A5" s="3">
        <v>2</v>
      </c>
      <c r="B5" s="16" t="s">
        <v>64</v>
      </c>
      <c r="C5" s="31">
        <f>C33</f>
        <v>5.0999999999999996</v>
      </c>
      <c r="D5" s="37">
        <f>C72</f>
        <v>5.0999999999999996</v>
      </c>
      <c r="E5" s="36">
        <f t="shared" ref="E5" si="0">C5*C$2+D5*D$2</f>
        <v>5.0999999999999996</v>
      </c>
    </row>
    <row r="10" spans="1:11" ht="18.75" outlineLevel="1" x14ac:dyDescent="0.25">
      <c r="A10" s="48" t="s">
        <v>4</v>
      </c>
      <c r="B10" s="11" t="str">
        <f>B4</f>
        <v>DAVID ANDRES ZURITA CORVALAN</v>
      </c>
      <c r="C10" s="43" t="s">
        <v>5</v>
      </c>
      <c r="D10" s="44" t="s">
        <v>6</v>
      </c>
      <c r="E10" s="45"/>
      <c r="F10" s="45"/>
      <c r="G10" s="45"/>
      <c r="H10" s="45"/>
      <c r="I10" s="45"/>
      <c r="J10" s="45"/>
      <c r="K10" s="46"/>
    </row>
    <row r="11" spans="1:11" outlineLevel="1" x14ac:dyDescent="0.25">
      <c r="A11" s="40"/>
      <c r="B11" s="15" t="s">
        <v>7</v>
      </c>
      <c r="C11" s="42"/>
      <c r="D11" s="44" t="s">
        <v>8</v>
      </c>
      <c r="E11" s="46"/>
      <c r="F11" s="44" t="s">
        <v>9</v>
      </c>
      <c r="G11" s="46"/>
      <c r="H11" s="47" t="s">
        <v>10</v>
      </c>
      <c r="I11" s="46"/>
      <c r="J11" s="44" t="s">
        <v>11</v>
      </c>
      <c r="K11" s="46"/>
    </row>
    <row r="12" spans="1:11" ht="24" outlineLevel="1" x14ac:dyDescent="0.25">
      <c r="A12" s="41"/>
      <c r="B12" s="19" t="str">
        <f>RUBRICA!A4</f>
        <v xml:space="preserve">1. Presenta el proyecto considerando la relevancia, objetivos, metodología y desarrollo, de acuerdo a los estándares de calidad de la disciplina. </v>
      </c>
      <c r="C12" s="17" t="s">
        <v>8</v>
      </c>
      <c r="D12" s="12" t="str">
        <f t="shared" ref="D12:D16" si="1">IF($C12=CL,"X","")</f>
        <v>X</v>
      </c>
      <c r="E12" s="12">
        <f>IF(D12="X",100*0.15,"")</f>
        <v>15</v>
      </c>
      <c r="F12" s="12" t="str">
        <f t="shared" ref="F12:F16" si="2">IF($C12=L,"X","")</f>
        <v/>
      </c>
      <c r="G12" s="12" t="str">
        <f>IF(F12="X",60*0.15,"")</f>
        <v/>
      </c>
      <c r="H12" s="12" t="str">
        <f t="shared" ref="H12:H16" si="3">IF($C12=ML,"X","")</f>
        <v/>
      </c>
      <c r="I12" s="12" t="str">
        <f>IF(H12="X",30*0.15,"")</f>
        <v/>
      </c>
      <c r="J12" s="12" t="str">
        <f t="shared" ref="J12:J16" si="4">IF($C12=NL,"X","")</f>
        <v/>
      </c>
      <c r="K12" s="12" t="str">
        <f t="shared" ref="K12:K16" si="5">IF($J12="X",0,"")</f>
        <v/>
      </c>
    </row>
    <row r="13" spans="1:11" ht="26.45" customHeight="1" outlineLevel="1" x14ac:dyDescent="0.25">
      <c r="A13" s="41"/>
      <c r="B13" s="19" t="str">
        <f>RUBRICA!A5</f>
        <v xml:space="preserve">2. Presenta las evidencias del Proyecto APT, dando cuenta del cumplimiento de los objetivos y de acuerdo a los estándares de la disciplina. </v>
      </c>
      <c r="C13" s="17" t="s">
        <v>9</v>
      </c>
      <c r="D13" s="12" t="str">
        <f t="shared" si="1"/>
        <v/>
      </c>
      <c r="E13" s="12" t="str">
        <f>IF(D13="X",100*0.25,"")</f>
        <v/>
      </c>
      <c r="F13" s="12" t="str">
        <f t="shared" si="2"/>
        <v>X</v>
      </c>
      <c r="G13" s="12">
        <f>IF(F13="X",60*0.25,"")</f>
        <v>15</v>
      </c>
      <c r="H13" s="12" t="str">
        <f t="shared" si="3"/>
        <v/>
      </c>
      <c r="I13" s="12" t="str">
        <f>IF(H13="X",30*0.25,"")</f>
        <v/>
      </c>
      <c r="J13" s="12" t="str">
        <f t="shared" si="4"/>
        <v/>
      </c>
      <c r="K13" s="12" t="str">
        <f t="shared" si="5"/>
        <v/>
      </c>
    </row>
    <row r="14" spans="1:11" ht="24" outlineLevel="1" x14ac:dyDescent="0.25">
      <c r="A14" s="41"/>
      <c r="B14" s="19" t="str">
        <f>RUBRICA!A6</f>
        <v>3. Responde las preguntas realizadas por la comisión, cumpliendo con los estándares de calidad de la disciplina.</v>
      </c>
      <c r="C14" s="17" t="s">
        <v>8</v>
      </c>
      <c r="D14" s="12" t="str">
        <f t="shared" si="1"/>
        <v>X</v>
      </c>
      <c r="E14" s="12">
        <f>IF(D14="X",100*0.2,"")</f>
        <v>20</v>
      </c>
      <c r="F14" s="12" t="str">
        <f t="shared" si="2"/>
        <v/>
      </c>
      <c r="G14" s="12" t="str">
        <f>IF(F14="X",60*0.2,"")</f>
        <v/>
      </c>
      <c r="H14" s="12" t="str">
        <f t="shared" si="3"/>
        <v/>
      </c>
      <c r="I14" s="12" t="str">
        <f>IF(H14="X",30*0.2,"")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RUBRICA!A7</f>
        <v>4. Expone el Proyecto APT, considerando el formato y el tiempo establecido para la presentación.</v>
      </c>
      <c r="C15" s="17" t="s">
        <v>8</v>
      </c>
      <c r="D15" s="12" t="str">
        <f t="shared" si="1"/>
        <v>X</v>
      </c>
      <c r="E15" s="12">
        <f>IF(D15="X",100*0.05,"")</f>
        <v>5</v>
      </c>
      <c r="F15" s="12" t="str">
        <f t="shared" si="2"/>
        <v/>
      </c>
      <c r="G15" s="12" t="str">
        <f>IF(F15="X",60*0.05,"")</f>
        <v/>
      </c>
      <c r="H15" s="12" t="str">
        <f t="shared" si="3"/>
        <v/>
      </c>
      <c r="I15" s="12" t="str">
        <f>IF(H15="X",30*0.05,"")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RUBRICA!A8</f>
        <v>5. Expresa sus ideas con fluidez, claridad y precisión, utilizando lenguaje técnico propio de la disciplina.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36" outlineLevel="1" x14ac:dyDescent="0.25">
      <c r="A17" s="41"/>
      <c r="B17" s="19" t="str">
        <f>RUBRICA!A9</f>
        <v>6. Entrega la documentación y evidencias requerida por la asignatura de acuerdo a la estructura y nombres solicitados, guardando todas las evidencias de avances en Git</v>
      </c>
      <c r="C17" s="17" t="s">
        <v>8</v>
      </c>
      <c r="D17" s="12" t="str">
        <f>IF($C17=CL,"X","")</f>
        <v>X</v>
      </c>
      <c r="E17" s="12">
        <f>IF(D17="X",100*0.2,"")</f>
        <v>20</v>
      </c>
      <c r="F17" s="12" t="str">
        <f>IF($C17=L,"X","")</f>
        <v/>
      </c>
      <c r="G17" s="12" t="str">
        <f>IF(F17="X",60*0.2,"")</f>
        <v/>
      </c>
      <c r="H17" s="12" t="str">
        <f>IF($C17=ML,"X","")</f>
        <v/>
      </c>
      <c r="I17" s="12" t="str">
        <f>IF(H17="X",30*0.2,"")</f>
        <v/>
      </c>
      <c r="J17" s="12" t="str">
        <f>IF($C17=NL,"X","")</f>
        <v/>
      </c>
      <c r="K17" s="12" t="str">
        <f t="shared" ref="K17:K18" si="6">IF($J17="X",0,"")</f>
        <v/>
      </c>
    </row>
    <row r="18" spans="1:11" ht="24" outlineLevel="1" x14ac:dyDescent="0.25">
      <c r="A18" s="41"/>
      <c r="B18" s="19" t="str">
        <f>RUBRICA!A10</f>
        <v xml:space="preserve">7. Expone el tema utilizando un lenguaje técnico disciplinar al presentar la propuesta y responde evidenciando un manejo de la información. </v>
      </c>
      <c r="C18" s="17" t="s">
        <v>8</v>
      </c>
      <c r="D18" s="12" t="str">
        <f>IF($C18=CL,"X","")</f>
        <v>X</v>
      </c>
      <c r="E18" s="12">
        <f>IF(D18="X",100*0.1,"")</f>
        <v>10</v>
      </c>
      <c r="F18" s="12" t="str">
        <f>IF($C18=L,"X","")</f>
        <v/>
      </c>
      <c r="G18" s="12" t="str">
        <f>IF(F18="X",60*0.1,"")</f>
        <v/>
      </c>
      <c r="H18" s="12" t="str">
        <f>IF($C18=ML,"X","")</f>
        <v/>
      </c>
      <c r="I18" s="12" t="str">
        <f>IF(H18="X",30*0.1,"")</f>
        <v/>
      </c>
      <c r="J18" s="12" t="str">
        <f>IF($C18=NL,"X","")</f>
        <v/>
      </c>
      <c r="K18" s="12" t="str">
        <f t="shared" si="6"/>
        <v/>
      </c>
    </row>
    <row r="19" spans="1:11" ht="15.75" customHeight="1" outlineLevel="1" x14ac:dyDescent="0.3">
      <c r="A19" s="40"/>
      <c r="B19" s="18" t="s">
        <v>12</v>
      </c>
      <c r="C19" s="22">
        <f>E19+G19+I19+K19</f>
        <v>90</v>
      </c>
      <c r="D19" s="13"/>
      <c r="E19" s="13">
        <f>SUM(E12:E18)</f>
        <v>75</v>
      </c>
      <c r="F19" s="13"/>
      <c r="G19" s="13">
        <f>SUM(G12:G18)</f>
        <v>15</v>
      </c>
      <c r="H19" s="13"/>
      <c r="I19" s="13">
        <f>SUM(I12:I18)</f>
        <v>0</v>
      </c>
      <c r="J19" s="13"/>
      <c r="K19" s="13">
        <f>SUM(K12:K18)</f>
        <v>0</v>
      </c>
    </row>
    <row r="20" spans="1:11" ht="15.75" customHeight="1" outlineLevel="1" x14ac:dyDescent="0.3">
      <c r="A20" s="42"/>
      <c r="B20" s="21" t="s">
        <v>13</v>
      </c>
      <c r="C20" s="14">
        <f>VLOOKUP(C19,ESCALA_IEP!A2:B202,2,FALSE)</f>
        <v>6.3</v>
      </c>
    </row>
    <row r="21" spans="1:11" ht="15.75" customHeight="1" x14ac:dyDescent="0.25"/>
    <row r="22" spans="1:11" ht="15.75" customHeight="1" x14ac:dyDescent="0.25"/>
    <row r="23" spans="1:11" ht="24" customHeight="1" x14ac:dyDescent="0.25">
      <c r="A23" s="48" t="s">
        <v>4</v>
      </c>
      <c r="B23" s="11" t="str">
        <f>B5</f>
        <v>BRUCE LARCO RIQUELME</v>
      </c>
      <c r="C23" s="43" t="s">
        <v>5</v>
      </c>
      <c r="D23" s="44" t="s">
        <v>6</v>
      </c>
      <c r="E23" s="45"/>
      <c r="F23" s="45"/>
      <c r="G23" s="45"/>
      <c r="H23" s="45"/>
      <c r="I23" s="45"/>
      <c r="J23" s="45"/>
      <c r="K23" s="46"/>
    </row>
    <row r="24" spans="1:11" ht="24" customHeight="1" x14ac:dyDescent="0.25">
      <c r="A24" s="40"/>
      <c r="B24" s="15" t="s">
        <v>7</v>
      </c>
      <c r="C24" s="42"/>
      <c r="D24" s="44" t="s">
        <v>8</v>
      </c>
      <c r="E24" s="46"/>
      <c r="F24" s="44" t="s">
        <v>9</v>
      </c>
      <c r="G24" s="46"/>
      <c r="H24" s="47" t="s">
        <v>10</v>
      </c>
      <c r="I24" s="46"/>
      <c r="J24" s="44" t="s">
        <v>11</v>
      </c>
      <c r="K24" s="46"/>
    </row>
    <row r="25" spans="1:11" ht="24" customHeight="1" x14ac:dyDescent="0.25">
      <c r="A25" s="41"/>
      <c r="B25" s="19" t="str">
        <f>RUBRICA!A4</f>
        <v xml:space="preserve">1. Presenta el proyecto considerando la relevancia, objetivos, metodología y desarrollo, de acuerdo a los estándares de calidad de la disciplina. </v>
      </c>
      <c r="C25" s="17" t="s">
        <v>8</v>
      </c>
      <c r="D25" s="12" t="str">
        <f t="shared" ref="D25:D29" si="7">IF($C25=CL,"X","")</f>
        <v>X</v>
      </c>
      <c r="E25" s="12">
        <f>IF(D25="X",100*0.15,"")</f>
        <v>15</v>
      </c>
      <c r="F25" s="12" t="str">
        <f t="shared" ref="F25:F29" si="8">IF($C25=L,"X","")</f>
        <v/>
      </c>
      <c r="G25" s="12" t="str">
        <f>IF(F25="X",60*0.15,"")</f>
        <v/>
      </c>
      <c r="H25" s="12" t="str">
        <f t="shared" ref="H25:H29" si="9">IF($C25=ML,"X","")</f>
        <v/>
      </c>
      <c r="I25" s="12" t="str">
        <f>IF(H25="X",30*0.15,"")</f>
        <v/>
      </c>
      <c r="J25" s="12" t="str">
        <f t="shared" ref="J25:J29" si="10">IF($C25=NL,"X","")</f>
        <v/>
      </c>
      <c r="K25" s="12" t="str">
        <f t="shared" ref="K25:K31" si="11">IF($J25="X",0,"")</f>
        <v/>
      </c>
    </row>
    <row r="26" spans="1:11" ht="24" customHeight="1" x14ac:dyDescent="0.25">
      <c r="A26" s="41"/>
      <c r="B26" s="19" t="str">
        <f>RUBRICA!A5</f>
        <v xml:space="preserve">2. Presenta las evidencias del Proyecto APT, dando cuenta del cumplimiento de los objetivos y de acuerdo a los estándares de la disciplina. </v>
      </c>
      <c r="C26" s="17" t="s">
        <v>9</v>
      </c>
      <c r="D26" s="12" t="str">
        <f t="shared" si="7"/>
        <v/>
      </c>
      <c r="E26" s="12" t="str">
        <f>IF(D26="X",100*0.25,"")</f>
        <v/>
      </c>
      <c r="F26" s="12" t="str">
        <f t="shared" si="8"/>
        <v>X</v>
      </c>
      <c r="G26" s="12">
        <f>IF(F26="X",60*0.25,"")</f>
        <v>15</v>
      </c>
      <c r="H26" s="12" t="str">
        <f t="shared" si="9"/>
        <v/>
      </c>
      <c r="I26" s="12" t="str">
        <f>IF(H26="X",30*0.25,"")</f>
        <v/>
      </c>
      <c r="J26" s="12" t="str">
        <f t="shared" si="10"/>
        <v/>
      </c>
      <c r="K26" s="12" t="str">
        <f t="shared" si="11"/>
        <v/>
      </c>
    </row>
    <row r="27" spans="1:11" ht="24" customHeight="1" x14ac:dyDescent="0.25">
      <c r="A27" s="41"/>
      <c r="B27" s="19" t="str">
        <f>RUBRICA!A6</f>
        <v>3. Responde las preguntas realizadas por la comisión, cumpliendo con los estándares de calidad de la disciplina.</v>
      </c>
      <c r="C27" s="17" t="s">
        <v>61</v>
      </c>
      <c r="D27" s="12" t="str">
        <f t="shared" si="7"/>
        <v/>
      </c>
      <c r="E27" s="12" t="str">
        <f>IF(D27="X",100*0.2,"")</f>
        <v/>
      </c>
      <c r="F27" s="12" t="str">
        <f t="shared" si="8"/>
        <v/>
      </c>
      <c r="G27" s="12" t="str">
        <f>IF(F27="X",60*0.2,"")</f>
        <v/>
      </c>
      <c r="H27" s="12" t="str">
        <f t="shared" si="9"/>
        <v>X</v>
      </c>
      <c r="I27" s="12">
        <f>IF(H27="X",30*0.2,"")</f>
        <v>6</v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RUBRICA!A7</f>
        <v>4. Expone el Proyecto APT, considerando el formato y el tiempo establecido para la presentación.</v>
      </c>
      <c r="C28" s="17" t="s">
        <v>8</v>
      </c>
      <c r="D28" s="12" t="str">
        <f t="shared" si="7"/>
        <v>X</v>
      </c>
      <c r="E28" s="12">
        <f>IF(D28="X",100*0.05,"")</f>
        <v>5</v>
      </c>
      <c r="F28" s="12" t="str">
        <f t="shared" si="8"/>
        <v/>
      </c>
      <c r="G28" s="12" t="str">
        <f>IF(F28="X",60*0.05,"")</f>
        <v/>
      </c>
      <c r="H28" s="12" t="str">
        <f t="shared" si="9"/>
        <v/>
      </c>
      <c r="I28" s="12" t="str">
        <f>IF(H28="X",30*0.05,"")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RUBRICA!A8</f>
        <v>5. Expresa sus ideas con fluidez, claridad y precisión, utilizando lenguaje técnico propio de la disciplina.</v>
      </c>
      <c r="C29" s="17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RUBRICA!A9</f>
        <v>6. Entrega la documentación y evidencias requerida por la asignatura de acuerdo a la estructura y nombres solicitados, guardando todas las evidencias de avances en Git</v>
      </c>
      <c r="C30" s="17" t="s">
        <v>8</v>
      </c>
      <c r="D30" s="12" t="str">
        <f>IF($C30=CL,"X","")</f>
        <v>X</v>
      </c>
      <c r="E30" s="12">
        <f>IF(D30="X",100*0.2,"")</f>
        <v>20</v>
      </c>
      <c r="F30" s="12" t="str">
        <f>IF($C30=L,"X","")</f>
        <v/>
      </c>
      <c r="G30" s="12" t="str">
        <f>IF(F30="X",60*0.2,"")</f>
        <v/>
      </c>
      <c r="H30" s="12" t="str">
        <f>IF($C30=ML,"X","")</f>
        <v/>
      </c>
      <c r="I30" s="12" t="str">
        <f>IF(H30="X",30*0.2,"")</f>
        <v/>
      </c>
      <c r="J30" s="12" t="str">
        <f>IF($C30=NL,"X","")</f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RUBRICA!A10</f>
        <v xml:space="preserve">7. Expone el tema utilizando un lenguaje técnico disciplinar al presentar la propuesta y responde evidenciando un manejo de la información. </v>
      </c>
      <c r="C31" s="17" t="s">
        <v>8</v>
      </c>
      <c r="D31" s="12" t="str">
        <f>IF($C31=CL,"X","")</f>
        <v>X</v>
      </c>
      <c r="E31" s="12">
        <f>IF(D31="X",100*0.1,"")</f>
        <v>10</v>
      </c>
      <c r="F31" s="12" t="str">
        <f>IF($C31=L,"X","")</f>
        <v/>
      </c>
      <c r="G31" s="12" t="str">
        <f>IF(F31="X",60*0.1,"")</f>
        <v/>
      </c>
      <c r="H31" s="12" t="str">
        <f>IF($C31=ML,"X","")</f>
        <v/>
      </c>
      <c r="I31" s="12" t="str">
        <f>IF(H31="X",30*0.1,"")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0"/>
      <c r="B32" s="18" t="s">
        <v>12</v>
      </c>
      <c r="C32" s="22">
        <f>E32+G32+I32+K32</f>
        <v>74</v>
      </c>
      <c r="D32" s="13"/>
      <c r="E32" s="13">
        <f>SUM(E25:E31)</f>
        <v>50</v>
      </c>
      <c r="F32" s="13"/>
      <c r="G32" s="13">
        <f>SUM(G25:G31)</f>
        <v>18</v>
      </c>
      <c r="H32" s="13"/>
      <c r="I32" s="13">
        <f>SUM(I25:I31)</f>
        <v>6</v>
      </c>
      <c r="J32" s="13"/>
      <c r="K32" s="13">
        <f>SUM(K25:K31)</f>
        <v>0</v>
      </c>
    </row>
    <row r="33" spans="1:11" ht="24" customHeight="1" x14ac:dyDescent="0.3">
      <c r="A33" s="42"/>
      <c r="B33" s="21" t="s">
        <v>13</v>
      </c>
      <c r="C33" s="14">
        <f>VLOOKUP(C32,ESCALA_IEP!A15:B215,2,FALSE)</f>
        <v>5.0999999999999996</v>
      </c>
    </row>
    <row r="34" spans="1:11" ht="16.149999999999999" customHeight="1" x14ac:dyDescent="0.25"/>
    <row r="35" spans="1:11" ht="13.9" customHeight="1" x14ac:dyDescent="0.25"/>
    <row r="36" spans="1:11" ht="24" customHeight="1" x14ac:dyDescent="0.25">
      <c r="A36" s="48" t="s">
        <v>4</v>
      </c>
      <c r="B36" s="11" t="e">
        <f>#REF!</f>
        <v>#REF!</v>
      </c>
      <c r="C36" s="43" t="s">
        <v>5</v>
      </c>
      <c r="D36" s="44" t="s">
        <v>6</v>
      </c>
      <c r="E36" s="45"/>
      <c r="F36" s="45"/>
      <c r="G36" s="45"/>
      <c r="H36" s="45"/>
      <c r="I36" s="45"/>
      <c r="J36" s="45"/>
      <c r="K36" s="46"/>
    </row>
    <row r="37" spans="1:11" ht="24" customHeight="1" x14ac:dyDescent="0.25">
      <c r="A37" s="40"/>
      <c r="B37" s="15" t="s">
        <v>7</v>
      </c>
      <c r="C37" s="42"/>
      <c r="D37" s="44" t="s">
        <v>8</v>
      </c>
      <c r="E37" s="46"/>
      <c r="F37" s="44" t="s">
        <v>9</v>
      </c>
      <c r="G37" s="46"/>
      <c r="H37" s="47" t="s">
        <v>10</v>
      </c>
      <c r="I37" s="46"/>
      <c r="J37" s="44" t="s">
        <v>11</v>
      </c>
      <c r="K37" s="46"/>
    </row>
    <row r="38" spans="1:11" ht="24" customHeight="1" x14ac:dyDescent="0.25">
      <c r="A38" s="41"/>
      <c r="B38" s="19" t="str">
        <f>RUBRICA!A4</f>
        <v xml:space="preserve">1. Presenta el proyecto considerando la relevancia, objetivos, metodología y desarrollo, de acuerdo a los estándares de calidad de la disciplina. </v>
      </c>
      <c r="C38" s="17" t="s">
        <v>8</v>
      </c>
      <c r="D38" s="12" t="str">
        <f t="shared" ref="D38:D42" si="12">IF($C38=CL,"X","")</f>
        <v>X</v>
      </c>
      <c r="E38" s="12">
        <f>IF(D38="X",100*0.15,"")</f>
        <v>15</v>
      </c>
      <c r="F38" s="12" t="str">
        <f t="shared" ref="F38:F42" si="13">IF($C38=L,"X","")</f>
        <v/>
      </c>
      <c r="G38" s="12" t="str">
        <f>IF(F38="X",60*0.15,"")</f>
        <v/>
      </c>
      <c r="H38" s="12" t="str">
        <f t="shared" ref="H38:H42" si="14">IF($C38=ML,"X","")</f>
        <v/>
      </c>
      <c r="I38" s="12" t="str">
        <f>IF(H38="X",30*0.15,"")</f>
        <v/>
      </c>
      <c r="J38" s="12" t="str">
        <f t="shared" ref="J38:J42" si="15">IF($C38=NL,"X","")</f>
        <v/>
      </c>
      <c r="K38" s="12" t="str">
        <f t="shared" ref="K38:K44" si="16">IF($J38="X",0,"")</f>
        <v/>
      </c>
    </row>
    <row r="39" spans="1:11" ht="24" customHeight="1" x14ac:dyDescent="0.25">
      <c r="A39" s="41"/>
      <c r="B39" s="19" t="str">
        <f>RUBRICA!A5</f>
        <v xml:space="preserve">2. Presenta las evidencias del Proyecto APT, dando cuenta del cumplimiento de los objetivos y de acuerdo a los estándares de la disciplina. </v>
      </c>
      <c r="C39" s="17" t="s">
        <v>8</v>
      </c>
      <c r="D39" s="12" t="str">
        <f t="shared" si="12"/>
        <v>X</v>
      </c>
      <c r="E39" s="12">
        <f>IF(D39="X",100*0.25,"")</f>
        <v>25</v>
      </c>
      <c r="F39" s="12" t="str">
        <f t="shared" si="13"/>
        <v/>
      </c>
      <c r="G39" s="12" t="str">
        <f>IF(F39="X",60*0.25,"")</f>
        <v/>
      </c>
      <c r="H39" s="12" t="str">
        <f t="shared" si="14"/>
        <v/>
      </c>
      <c r="I39" s="12" t="str">
        <f>IF(H39="X",30*0.25,"")</f>
        <v/>
      </c>
      <c r="J39" s="12" t="str">
        <f t="shared" si="15"/>
        <v/>
      </c>
      <c r="K39" s="12" t="str">
        <f t="shared" si="16"/>
        <v/>
      </c>
    </row>
    <row r="40" spans="1:11" ht="24" customHeight="1" x14ac:dyDescent="0.25">
      <c r="A40" s="41"/>
      <c r="B40" s="19" t="str">
        <f>RUBRICA!A6</f>
        <v>3. Responde las preguntas realizadas por la comisión, cumpliendo con los estándares de calidad de la disciplina.</v>
      </c>
      <c r="C40" s="17" t="s">
        <v>8</v>
      </c>
      <c r="D40" s="12" t="str">
        <f t="shared" si="12"/>
        <v>X</v>
      </c>
      <c r="E40" s="12">
        <f>IF(D40="X",100*0.2,"")</f>
        <v>20</v>
      </c>
      <c r="F40" s="12" t="str">
        <f t="shared" si="13"/>
        <v/>
      </c>
      <c r="G40" s="12" t="str">
        <f>IF(F40="X",60*0.2,"")</f>
        <v/>
      </c>
      <c r="H40" s="12" t="str">
        <f t="shared" si="14"/>
        <v/>
      </c>
      <c r="I40" s="12" t="str">
        <f>IF(H40="X",30*0.2,"")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RUBRICA!A7</f>
        <v>4. Expone el Proyecto APT, considerando el formato y el tiempo establecido para la presentación.</v>
      </c>
      <c r="C41" s="17" t="s">
        <v>8</v>
      </c>
      <c r="D41" s="12" t="str">
        <f t="shared" si="12"/>
        <v>X</v>
      </c>
      <c r="E41" s="12">
        <f>IF(D41="X",100*0.05,"")</f>
        <v>5</v>
      </c>
      <c r="F41" s="12" t="str">
        <f t="shared" si="13"/>
        <v/>
      </c>
      <c r="G41" s="12" t="str">
        <f>IF(F41="X",60*0.05,"")</f>
        <v/>
      </c>
      <c r="H41" s="12" t="str">
        <f t="shared" si="14"/>
        <v/>
      </c>
      <c r="I41" s="12" t="str">
        <f>IF(H41="X",30*0.05,"")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RUBRICA!A8</f>
        <v>5. Expresa sus ideas con fluidez, claridad y precisión, utilizando lenguaje técnico propio de la disciplina.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RUBRICA!A9</f>
        <v>6. Entrega la documentación y evidencias requerida por la asignatura de acuerdo a la estructura y nombres solicitados, guardando todas las evidencias de avances en Git</v>
      </c>
      <c r="C43" s="17" t="s">
        <v>8</v>
      </c>
      <c r="D43" s="12" t="str">
        <f>IF($C43=CL,"X","")</f>
        <v>X</v>
      </c>
      <c r="E43" s="12">
        <f>IF(D43="X",100*0.2,"")</f>
        <v>20</v>
      </c>
      <c r="F43" s="12" t="str">
        <f>IF($C43=L,"X","")</f>
        <v/>
      </c>
      <c r="G43" s="12" t="str">
        <f>IF(F43="X",60*0.2,"")</f>
        <v/>
      </c>
      <c r="H43" s="12" t="str">
        <f>IF($C43=ML,"X","")</f>
        <v/>
      </c>
      <c r="I43" s="12" t="str">
        <f>IF(H43="X",30*0.2,"")</f>
        <v/>
      </c>
      <c r="J43" s="12" t="str">
        <f>IF($C43=NL,"X","")</f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RUBRICA!A10</f>
        <v xml:space="preserve">7. Expone el tema utilizando un lenguaje técnico disciplinar al presentar la propuesta y responde evidenciando un manejo de la información. </v>
      </c>
      <c r="C44" s="17" t="s">
        <v>8</v>
      </c>
      <c r="D44" s="12" t="str">
        <f>IF($C44=CL,"X","")</f>
        <v>X</v>
      </c>
      <c r="E44" s="12">
        <f>IF(D44="X",100*0.1,"")</f>
        <v>10</v>
      </c>
      <c r="F44" s="12" t="str">
        <f>IF($C44=L,"X","")</f>
        <v/>
      </c>
      <c r="G44" s="12" t="str">
        <f>IF(F44="X",60*0.1,"")</f>
        <v/>
      </c>
      <c r="H44" s="12" t="str">
        <f>IF($C44=ML,"X","")</f>
        <v/>
      </c>
      <c r="I44" s="12" t="str">
        <f>IF(H44="X",30*0.1,"")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0"/>
      <c r="B45" s="18" t="s">
        <v>12</v>
      </c>
      <c r="C45" s="22">
        <f>E45+G45+I45+K45</f>
        <v>100</v>
      </c>
      <c r="D45" s="13"/>
      <c r="E45" s="13">
        <f>SUM(E38:E44)</f>
        <v>100</v>
      </c>
      <c r="F45" s="13"/>
      <c r="G45" s="13">
        <f>SUM(G38:G44)</f>
        <v>0</v>
      </c>
      <c r="H45" s="13"/>
      <c r="I45" s="13">
        <f>SUM(I38:I44)</f>
        <v>0</v>
      </c>
      <c r="J45" s="13"/>
      <c r="K45" s="13">
        <f>SUM(K38:K44)</f>
        <v>0</v>
      </c>
    </row>
    <row r="46" spans="1:11" ht="24" customHeight="1" x14ac:dyDescent="0.3">
      <c r="A46" s="42"/>
      <c r="B46" s="21" t="s">
        <v>13</v>
      </c>
      <c r="C46" s="14">
        <f>VLOOKUP(C45,ESCALA_IEP!A28:B228,2,FALSE)</f>
        <v>7</v>
      </c>
    </row>
    <row r="47" spans="1:11" ht="15.75" customHeight="1" x14ac:dyDescent="0.25"/>
    <row r="48" spans="1:11" ht="15.75" customHeight="1" x14ac:dyDescent="0.25"/>
    <row r="49" spans="1:11" ht="24" customHeight="1" x14ac:dyDescent="0.25">
      <c r="A49" s="39" t="s">
        <v>14</v>
      </c>
      <c r="B49" s="11" t="str">
        <f>B4</f>
        <v>DAVID ANDRES ZURITA CORVALAN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24" customHeight="1" x14ac:dyDescent="0.25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4" customHeight="1" x14ac:dyDescent="0.25">
      <c r="A51" s="41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 t="str">
        <f t="shared" ref="D51:D55" si="17">IF($C51=CL,"X","")</f>
        <v>X</v>
      </c>
      <c r="E51" s="12">
        <f>IF(D51="X",100*0.15,"")</f>
        <v>15</v>
      </c>
      <c r="F51" s="12" t="str">
        <f t="shared" ref="F51:F55" si="18">IF($C51=L,"X","")</f>
        <v/>
      </c>
      <c r="G51" s="12" t="str">
        <f>IF(F51="X",60*0.15,"")</f>
        <v/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24" customHeight="1" x14ac:dyDescent="0.25">
      <c r="A52" s="41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9</v>
      </c>
      <c r="D52" s="12" t="str">
        <f t="shared" si="17"/>
        <v/>
      </c>
      <c r="E52" s="12" t="str">
        <f>IF(D52="X",100*0.25,"")</f>
        <v/>
      </c>
      <c r="F52" s="12" t="str">
        <f t="shared" si="18"/>
        <v>X</v>
      </c>
      <c r="G52" s="12">
        <f>IF(F52="X",60*0.25,"")</f>
        <v>15</v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4" customHeight="1" x14ac:dyDescent="0.25">
      <c r="A53" s="41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 t="str">
        <f t="shared" si="17"/>
        <v>X</v>
      </c>
      <c r="E53" s="12">
        <f>IF(D53="X",100*0.2,"")</f>
        <v>20</v>
      </c>
      <c r="F53" s="12" t="str">
        <f t="shared" si="18"/>
        <v/>
      </c>
      <c r="G53" s="12" t="str">
        <f>IF(F53="X",60*0.2,"")</f>
        <v/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RUBRICA!A7</f>
        <v>4. Expone el Proyecto APT, considerando el formato y el tiempo establecido para la presentación.</v>
      </c>
      <c r="C54" s="17" t="s">
        <v>8</v>
      </c>
      <c r="D54" s="12" t="str">
        <f t="shared" si="17"/>
        <v>X</v>
      </c>
      <c r="E54" s="12">
        <f>IF(D54="X",100*0.05,"")</f>
        <v>5</v>
      </c>
      <c r="F54" s="12" t="str">
        <f t="shared" si="18"/>
        <v/>
      </c>
      <c r="G54" s="12" t="str">
        <f>IF(F54="X",60*0.05,"")</f>
        <v/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0"/>
      <c r="B58" s="18" t="s">
        <v>12</v>
      </c>
      <c r="C58" s="22">
        <f>E58+G58+I58+K58</f>
        <v>90</v>
      </c>
      <c r="D58" s="13"/>
      <c r="E58" s="13">
        <f>SUM(E51:E57)</f>
        <v>75</v>
      </c>
      <c r="F58" s="13"/>
      <c r="G58" s="13">
        <f>SUM(G51:G57)</f>
        <v>15</v>
      </c>
      <c r="H58" s="13"/>
      <c r="I58" s="13">
        <f>SUM(I51:I57)</f>
        <v>0</v>
      </c>
      <c r="J58" s="13"/>
      <c r="K58" s="13">
        <f>SUM(K51:K57)</f>
        <v>0</v>
      </c>
    </row>
    <row r="59" spans="1:11" ht="24" customHeight="1" x14ac:dyDescent="0.3">
      <c r="A59" s="42"/>
      <c r="B59" s="21" t="s">
        <v>13</v>
      </c>
      <c r="C59" s="14">
        <f>VLOOKUP(C58,ESCALA_IEP!A41:B241,2,FALSE)</f>
        <v>6.3</v>
      </c>
    </row>
    <row r="60" spans="1:11" ht="15.75" customHeight="1" x14ac:dyDescent="0.25"/>
    <row r="61" spans="1:11" ht="15.75" customHeight="1" x14ac:dyDescent="0.25"/>
    <row r="62" spans="1:11" ht="24" customHeight="1" x14ac:dyDescent="0.25">
      <c r="A62" s="39" t="s">
        <v>15</v>
      </c>
      <c r="B62" s="11" t="str">
        <f>B5</f>
        <v>BRUCE LARCO RIQUELME</v>
      </c>
      <c r="C62" s="43" t="s">
        <v>5</v>
      </c>
      <c r="D62" s="44" t="s">
        <v>6</v>
      </c>
      <c r="E62" s="45"/>
      <c r="F62" s="45"/>
      <c r="G62" s="45"/>
      <c r="H62" s="45"/>
      <c r="I62" s="45"/>
      <c r="J62" s="45"/>
      <c r="K62" s="46"/>
    </row>
    <row r="63" spans="1:11" ht="24" customHeight="1" x14ac:dyDescent="0.25">
      <c r="A63" s="40"/>
      <c r="B63" s="15" t="s">
        <v>7</v>
      </c>
      <c r="C63" s="42"/>
      <c r="D63" s="44" t="s">
        <v>8</v>
      </c>
      <c r="E63" s="46"/>
      <c r="F63" s="44" t="s">
        <v>9</v>
      </c>
      <c r="G63" s="46"/>
      <c r="H63" s="47" t="s">
        <v>10</v>
      </c>
      <c r="I63" s="46"/>
      <c r="J63" s="44" t="s">
        <v>11</v>
      </c>
      <c r="K63" s="46"/>
    </row>
    <row r="64" spans="1:11" ht="24" customHeight="1" x14ac:dyDescent="0.25">
      <c r="A64" s="41"/>
      <c r="B64" s="19" t="str">
        <f>RUBRICA!A4</f>
        <v xml:space="preserve">1. Presenta el proyecto considerando la relevancia, objetivos, metodología y desarrollo, de acuerdo a los estándares de calidad de la disciplina. </v>
      </c>
      <c r="C64" s="17" t="s">
        <v>8</v>
      </c>
      <c r="D64" s="12" t="str">
        <f t="shared" ref="D64:D68" si="22">IF($C64=CL,"X","")</f>
        <v>X</v>
      </c>
      <c r="E64" s="12">
        <f>IF(D64="X",100*0.15,"")</f>
        <v>15</v>
      </c>
      <c r="F64" s="12" t="str">
        <f t="shared" ref="F64:F68" si="23">IF($C64=L,"X","")</f>
        <v/>
      </c>
      <c r="G64" s="12" t="str">
        <f>IF(F64="X",60*0.15,"")</f>
        <v/>
      </c>
      <c r="H64" s="12" t="str">
        <f t="shared" ref="H64:H68" si="24">IF($C64=ML,"X","")</f>
        <v/>
      </c>
      <c r="I64" s="12" t="str">
        <f>IF(H64="X",30*0.15,"")</f>
        <v/>
      </c>
      <c r="J64" s="12" t="str">
        <f t="shared" ref="J64:J68" si="25">IF($C64=NL,"X","")</f>
        <v/>
      </c>
      <c r="K64" s="12" t="str">
        <f t="shared" ref="K64:K70" si="26">IF($J64="X",0,"")</f>
        <v/>
      </c>
    </row>
    <row r="65" spans="1:11" ht="24" customHeight="1" x14ac:dyDescent="0.25">
      <c r="A65" s="41"/>
      <c r="B65" s="19" t="str">
        <f>RUBRICA!A5</f>
        <v xml:space="preserve">2. Presenta las evidencias del Proyecto APT, dando cuenta del cumplimiento de los objetivos y de acuerdo a los estándares de la disciplina. </v>
      </c>
      <c r="C65" s="17" t="s">
        <v>9</v>
      </c>
      <c r="D65" s="12" t="str">
        <f t="shared" si="22"/>
        <v/>
      </c>
      <c r="E65" s="12" t="str">
        <f>IF(D65="X",100*0.25,"")</f>
        <v/>
      </c>
      <c r="F65" s="12" t="str">
        <f t="shared" si="23"/>
        <v>X</v>
      </c>
      <c r="G65" s="12">
        <f>IF(F65="X",60*0.25,"")</f>
        <v>15</v>
      </c>
      <c r="H65" s="12" t="str">
        <f t="shared" si="24"/>
        <v/>
      </c>
      <c r="I65" s="12" t="str">
        <f>IF(H65="X",30*0.25,"")</f>
        <v/>
      </c>
      <c r="J65" s="12" t="str">
        <f t="shared" si="25"/>
        <v/>
      </c>
      <c r="K65" s="12" t="str">
        <f t="shared" si="26"/>
        <v/>
      </c>
    </row>
    <row r="66" spans="1:11" ht="24" customHeight="1" x14ac:dyDescent="0.25">
      <c r="A66" s="41"/>
      <c r="B66" s="19" t="str">
        <f>RUBRICA!A6</f>
        <v>3. Responde las preguntas realizadas por la comisión, cumpliendo con los estándares de calidad de la disciplina.</v>
      </c>
      <c r="C66" s="17" t="s">
        <v>61</v>
      </c>
      <c r="D66" s="12" t="str">
        <f t="shared" si="22"/>
        <v/>
      </c>
      <c r="E66" s="12" t="str">
        <f>IF(D66="X",100*0.2,"")</f>
        <v/>
      </c>
      <c r="F66" s="12" t="str">
        <f t="shared" si="23"/>
        <v/>
      </c>
      <c r="G66" s="12" t="str">
        <f>IF(F66="X",60*0.2,"")</f>
        <v/>
      </c>
      <c r="H66" s="12" t="str">
        <f t="shared" si="24"/>
        <v>X</v>
      </c>
      <c r="I66" s="12">
        <f>IF(H66="X",30*0.2,"")</f>
        <v>6</v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RUBRICA!A7</f>
        <v>4. Expone el Proyecto APT, considerando el formato y el tiempo establecido para la presentación.</v>
      </c>
      <c r="C67" s="17" t="s">
        <v>8</v>
      </c>
      <c r="D67" s="12" t="str">
        <f t="shared" si="22"/>
        <v>X</v>
      </c>
      <c r="E67" s="12">
        <f>IF(D67="X",100*0.05,"")</f>
        <v>5</v>
      </c>
      <c r="F67" s="12" t="str">
        <f t="shared" si="23"/>
        <v/>
      </c>
      <c r="G67" s="12" t="str">
        <f>IF(F67="X",60*0.05,"")</f>
        <v/>
      </c>
      <c r="H67" s="12" t="str">
        <f t="shared" si="24"/>
        <v/>
      </c>
      <c r="I67" s="12" t="str">
        <f>IF(H67="X",30*0.05,"")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RUBRICA!A8</f>
        <v>5. Expresa sus ideas con fluidez, claridad y precisión, utilizando lenguaje técnico propio de la disciplina.</v>
      </c>
      <c r="C68" s="17" t="s">
        <v>9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RUBRICA!A9</f>
        <v>6. Entrega la documentación y evidencias requerida por la asignatura de acuerdo a la estructura y nombres solicitados, guardando todas las evidencias de avances en Git</v>
      </c>
      <c r="C69" s="17" t="s">
        <v>8</v>
      </c>
      <c r="D69" s="12" t="str">
        <f>IF($C69=CL,"X","")</f>
        <v>X</v>
      </c>
      <c r="E69" s="12">
        <f>IF(D69="X",100*0.2,"")</f>
        <v>20</v>
      </c>
      <c r="F69" s="12" t="str">
        <f>IF($C69=L,"X","")</f>
        <v/>
      </c>
      <c r="G69" s="12" t="str">
        <f>IF(F69="X",60*0.2,"")</f>
        <v/>
      </c>
      <c r="H69" s="12" t="str">
        <f>IF($C69=ML,"X","")</f>
        <v/>
      </c>
      <c r="I69" s="12" t="str">
        <f>IF(H69="X",30*0.2,"")</f>
        <v/>
      </c>
      <c r="J69" s="12" t="str">
        <f>IF($C69=NL,"X","")</f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RUBRICA!A10</f>
        <v xml:space="preserve">7. Expone el tema utilizando un lenguaje técnico disciplinar al presentar la propuesta y responde evidenciando un manejo de la información. </v>
      </c>
      <c r="C70" s="17" t="s">
        <v>8</v>
      </c>
      <c r="D70" s="12" t="str">
        <f>IF($C70=CL,"X","")</f>
        <v>X</v>
      </c>
      <c r="E70" s="12">
        <f>IF(D70="X",100*0.1,"")</f>
        <v>10</v>
      </c>
      <c r="F70" s="12" t="str">
        <f>IF($C70=L,"X","")</f>
        <v/>
      </c>
      <c r="G70" s="12" t="str">
        <f>IF(F70="X",60*0.1,"")</f>
        <v/>
      </c>
      <c r="H70" s="12" t="str">
        <f>IF($C70=ML,"X","")</f>
        <v/>
      </c>
      <c r="I70" s="12" t="str">
        <f>IF(H70="X",30*0.1,"")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0"/>
      <c r="B71" s="18" t="s">
        <v>12</v>
      </c>
      <c r="C71" s="22">
        <f>E71+G71+I71+K71</f>
        <v>74</v>
      </c>
      <c r="D71" s="13"/>
      <c r="E71" s="13">
        <f>SUM(E64:E70)</f>
        <v>50</v>
      </c>
      <c r="F71" s="13"/>
      <c r="G71" s="13">
        <f>SUM(G64:G70)</f>
        <v>18</v>
      </c>
      <c r="H71" s="13"/>
      <c r="I71" s="13">
        <f>SUM(I64:I70)</f>
        <v>6</v>
      </c>
      <c r="J71" s="13"/>
      <c r="K71" s="13">
        <f>SUM(K64:K70)</f>
        <v>0</v>
      </c>
    </row>
    <row r="72" spans="1:11" ht="24" customHeight="1" x14ac:dyDescent="0.3">
      <c r="A72" s="42"/>
      <c r="B72" s="21" t="s">
        <v>13</v>
      </c>
      <c r="C72" s="14">
        <f>VLOOKUP(C71,ESCALA_IEP!A54:B254,2,FALSE)</f>
        <v>5.0999999999999996</v>
      </c>
    </row>
    <row r="73" spans="1:11" ht="15.75" customHeight="1" x14ac:dyDescent="0.25"/>
    <row r="74" spans="1:11" ht="15.75" customHeight="1" x14ac:dyDescent="0.25"/>
    <row r="75" spans="1:11" ht="24" customHeight="1" x14ac:dyDescent="0.25">
      <c r="A75" s="39" t="s">
        <v>16</v>
      </c>
      <c r="B75" s="11" t="e">
        <f>#REF!</f>
        <v>#REF!</v>
      </c>
      <c r="C75" s="43" t="s">
        <v>5</v>
      </c>
      <c r="D75" s="44" t="s">
        <v>6</v>
      </c>
      <c r="E75" s="45"/>
      <c r="F75" s="45"/>
      <c r="G75" s="45"/>
      <c r="H75" s="45"/>
      <c r="I75" s="45"/>
      <c r="J75" s="45"/>
      <c r="K75" s="46"/>
    </row>
    <row r="76" spans="1:11" ht="24" customHeight="1" x14ac:dyDescent="0.25">
      <c r="A76" s="40"/>
      <c r="B76" s="15" t="s">
        <v>7</v>
      </c>
      <c r="C76" s="42"/>
      <c r="D76" s="44" t="s">
        <v>8</v>
      </c>
      <c r="E76" s="46"/>
      <c r="F76" s="44" t="s">
        <v>9</v>
      </c>
      <c r="G76" s="46"/>
      <c r="H76" s="47" t="s">
        <v>10</v>
      </c>
      <c r="I76" s="46"/>
      <c r="J76" s="44" t="s">
        <v>11</v>
      </c>
      <c r="K76" s="46"/>
    </row>
    <row r="77" spans="1:11" ht="24" customHeight="1" x14ac:dyDescent="0.25">
      <c r="A77" s="41"/>
      <c r="B77" s="19" t="str">
        <f>RUBRICA!A4</f>
        <v xml:space="preserve">1. Presenta el proyecto considerando la relevancia, objetivos, metodología y desarrollo, de acuerdo a los estándares de calidad de la disciplina. </v>
      </c>
      <c r="C77" s="17" t="s">
        <v>8</v>
      </c>
      <c r="D77" s="12" t="str">
        <f t="shared" ref="D77:D81" si="27">IF($C77=CL,"X","")</f>
        <v>X</v>
      </c>
      <c r="E77" s="12">
        <f>IF(D77="X",100*0.15,"")</f>
        <v>15</v>
      </c>
      <c r="F77" s="12" t="str">
        <f t="shared" ref="F77:F81" si="28">IF($C77=L,"X","")</f>
        <v/>
      </c>
      <c r="G77" s="12" t="str">
        <f>IF(F77="X",60*0.15,"")</f>
        <v/>
      </c>
      <c r="H77" s="12" t="str">
        <f t="shared" ref="H77:H81" si="29">IF($C77=ML,"X","")</f>
        <v/>
      </c>
      <c r="I77" s="12" t="str">
        <f>IF(H77="X",30*0.15,"")</f>
        <v/>
      </c>
      <c r="J77" s="12" t="str">
        <f t="shared" ref="J77:J81" si="30">IF($C77=NL,"X","")</f>
        <v/>
      </c>
      <c r="K77" s="12" t="str">
        <f t="shared" ref="K77:K83" si="31">IF($J77="X",0,"")</f>
        <v/>
      </c>
    </row>
    <row r="78" spans="1:11" ht="24" customHeight="1" x14ac:dyDescent="0.25">
      <c r="A78" s="41"/>
      <c r="B78" s="19" t="str">
        <f>RUBRICA!A5</f>
        <v xml:space="preserve">2. Presenta las evidencias del Proyecto APT, dando cuenta del cumplimiento de los objetivos y de acuerdo a los estándares de la disciplina. </v>
      </c>
      <c r="C78" s="17" t="s">
        <v>8</v>
      </c>
      <c r="D78" s="12" t="str">
        <f t="shared" si="27"/>
        <v>X</v>
      </c>
      <c r="E78" s="12">
        <f>IF(D78="X",100*0.25,"")</f>
        <v>25</v>
      </c>
      <c r="F78" s="12" t="str">
        <f t="shared" si="28"/>
        <v/>
      </c>
      <c r="G78" s="12" t="str">
        <f>IF(F78="X",60*0.25,"")</f>
        <v/>
      </c>
      <c r="H78" s="12" t="str">
        <f t="shared" si="29"/>
        <v/>
      </c>
      <c r="I78" s="12" t="str">
        <f>IF(H78="X",30*0.25,"")</f>
        <v/>
      </c>
      <c r="J78" s="12" t="str">
        <f t="shared" si="30"/>
        <v/>
      </c>
      <c r="K78" s="12" t="str">
        <f t="shared" si="31"/>
        <v/>
      </c>
    </row>
    <row r="79" spans="1:11" ht="24" customHeight="1" x14ac:dyDescent="0.25">
      <c r="A79" s="41"/>
      <c r="B79" s="19" t="str">
        <f>RUBRICA!A6</f>
        <v>3. Responde las preguntas realizadas por la comisión, cumpliendo con los estándares de calidad de la disciplina.</v>
      </c>
      <c r="C79" s="17" t="s">
        <v>8</v>
      </c>
      <c r="D79" s="12" t="str">
        <f t="shared" si="27"/>
        <v>X</v>
      </c>
      <c r="E79" s="12">
        <f>IF(D79="X",100*0.2,"")</f>
        <v>20</v>
      </c>
      <c r="F79" s="12" t="str">
        <f t="shared" si="28"/>
        <v/>
      </c>
      <c r="G79" s="12" t="str">
        <f>IF(F79="X",60*0.2,"")</f>
        <v/>
      </c>
      <c r="H79" s="12" t="str">
        <f t="shared" si="29"/>
        <v/>
      </c>
      <c r="I79" s="12" t="str">
        <f>IF(H79="X",30*0.2,"")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RUBRICA!A7</f>
        <v>4. Expone el Proyecto APT, considerando el formato y el tiempo establecido para la presentación.</v>
      </c>
      <c r="C80" s="17" t="s">
        <v>8</v>
      </c>
      <c r="D80" s="12" t="str">
        <f t="shared" si="27"/>
        <v>X</v>
      </c>
      <c r="E80" s="12">
        <f>IF(D80="X",100*0.05,"")</f>
        <v>5</v>
      </c>
      <c r="F80" s="12" t="str">
        <f t="shared" si="28"/>
        <v/>
      </c>
      <c r="G80" s="12" t="str">
        <f>IF(F80="X",60*0.05,"")</f>
        <v/>
      </c>
      <c r="H80" s="12" t="str">
        <f t="shared" si="29"/>
        <v/>
      </c>
      <c r="I80" s="12" t="str">
        <f>IF(H80="X",30*0.05,"")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RUBRICA!A8</f>
        <v>5. Expresa sus ideas con fluidez, claridad y precisión, utilizando lenguaje técnico propio de la disciplina.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RUBRICA!A9</f>
        <v>6. Entrega la documentación y evidencias requerida por la asignatura de acuerdo a la estructura y nombres solicitados, guardando todas las evidencias de avances en Git</v>
      </c>
      <c r="C82" s="17" t="s">
        <v>8</v>
      </c>
      <c r="D82" s="12" t="str">
        <f>IF($C82=CL,"X","")</f>
        <v>X</v>
      </c>
      <c r="E82" s="12">
        <f>IF(D82="X",100*0.2,"")</f>
        <v>20</v>
      </c>
      <c r="F82" s="12" t="str">
        <f>IF($C82=L,"X","")</f>
        <v/>
      </c>
      <c r="G82" s="12" t="str">
        <f>IF(F82="X",60*0.2,"")</f>
        <v/>
      </c>
      <c r="H82" s="12" t="str">
        <f>IF($C82=ML,"X","")</f>
        <v/>
      </c>
      <c r="I82" s="12" t="str">
        <f>IF(H82="X",30*0.2,"")</f>
        <v/>
      </c>
      <c r="J82" s="12" t="str">
        <f>IF($C82=NL,"X","")</f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RUBRICA!A10</f>
        <v xml:space="preserve">7. Expone el tema utilizando un lenguaje técnico disciplinar al presentar la propuesta y responde evidenciando un manejo de la información. </v>
      </c>
      <c r="C83" s="17" t="s">
        <v>8</v>
      </c>
      <c r="D83" s="12" t="str">
        <f>IF($C83=CL,"X","")</f>
        <v>X</v>
      </c>
      <c r="E83" s="12">
        <f>IF(D83="X",100*0.1,"")</f>
        <v>10</v>
      </c>
      <c r="F83" s="12" t="str">
        <f>IF($C83=L,"X","")</f>
        <v/>
      </c>
      <c r="G83" s="12" t="str">
        <f>IF(F83="X",60*0.1,"")</f>
        <v/>
      </c>
      <c r="H83" s="12" t="str">
        <f>IF($C83=ML,"X","")</f>
        <v/>
      </c>
      <c r="I83" s="12" t="str">
        <f>IF(H83="X",30*0.1,"")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0"/>
      <c r="B84" s="18" t="s">
        <v>12</v>
      </c>
      <c r="C84" s="22">
        <f>E84+G84+I84+K84</f>
        <v>100</v>
      </c>
      <c r="D84" s="13"/>
      <c r="E84" s="13">
        <f>SUM(E77:E83)</f>
        <v>100</v>
      </c>
      <c r="F84" s="13"/>
      <c r="G84" s="13">
        <f>SUM(G77:G83)</f>
        <v>0</v>
      </c>
      <c r="H84" s="13"/>
      <c r="I84" s="13">
        <f>SUM(I77:I83)</f>
        <v>0</v>
      </c>
      <c r="J84" s="13"/>
      <c r="K84" s="13">
        <f>SUM(K77:K83)</f>
        <v>0</v>
      </c>
    </row>
    <row r="85" spans="1:11" ht="24" customHeight="1" x14ac:dyDescent="0.3">
      <c r="A85" s="42"/>
      <c r="B85" s="21" t="s">
        <v>13</v>
      </c>
      <c r="C85" s="14">
        <f>VLOOKUP(C84,ESCALA_IEP!A67:B267,2,FALSE)</f>
        <v>7</v>
      </c>
    </row>
    <row r="86" spans="1:11" ht="15.75" customHeight="1" x14ac:dyDescent="0.25"/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</sheetData>
  <mergeCells count="42">
    <mergeCell ref="A10:A20"/>
    <mergeCell ref="C36:C37"/>
    <mergeCell ref="D36:K36"/>
    <mergeCell ref="D37:E37"/>
    <mergeCell ref="F37:G37"/>
    <mergeCell ref="H37:I37"/>
    <mergeCell ref="J37:K37"/>
    <mergeCell ref="C10:C11"/>
    <mergeCell ref="D11:E11"/>
    <mergeCell ref="D10:K10"/>
    <mergeCell ref="F11:G11"/>
    <mergeCell ref="H11:I11"/>
    <mergeCell ref="J11:K11"/>
    <mergeCell ref="A36:A46"/>
    <mergeCell ref="A23:A33"/>
    <mergeCell ref="C23:C24"/>
    <mergeCell ref="A49:A59"/>
    <mergeCell ref="C49:C50"/>
    <mergeCell ref="D49:K49"/>
    <mergeCell ref="D50:E50"/>
    <mergeCell ref="F50:G50"/>
    <mergeCell ref="H50:I50"/>
    <mergeCell ref="J50:K50"/>
    <mergeCell ref="D23:K23"/>
    <mergeCell ref="D24:E24"/>
    <mergeCell ref="F24:G24"/>
    <mergeCell ref="H24:I24"/>
    <mergeCell ref="J24:K24"/>
    <mergeCell ref="A62:A72"/>
    <mergeCell ref="C62:C63"/>
    <mergeCell ref="D62:K62"/>
    <mergeCell ref="D63:E63"/>
    <mergeCell ref="F63:G63"/>
    <mergeCell ref="H63:I63"/>
    <mergeCell ref="J63:K63"/>
    <mergeCell ref="A75:A85"/>
    <mergeCell ref="C75:C76"/>
    <mergeCell ref="D75:K75"/>
    <mergeCell ref="D76:E76"/>
    <mergeCell ref="F76:G76"/>
    <mergeCell ref="H76:I76"/>
    <mergeCell ref="J76:K76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C51:C57 C77:C83 C12:C18 C25:C31 C38:C44 C64:C70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GOMEZ FLORES, JORGE</cp:lastModifiedBy>
  <cp:revision/>
  <dcterms:created xsi:type="dcterms:W3CDTF">2023-08-07T04:08:01Z</dcterms:created>
  <dcterms:modified xsi:type="dcterms:W3CDTF">2025-12-12T14:54:21Z</dcterms:modified>
  <cp:category/>
  <cp:contentStatus/>
</cp:coreProperties>
</file>