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82802b1fe67b81/Desktop/Evidencias Proyecto/Evidencias de documentacion/"/>
    </mc:Choice>
  </mc:AlternateContent>
  <xr:revisionPtr revIDLastSave="293" documentId="11_086EB69E6F64834DA499C975EF3A8290D47EDDBD" xr6:coauthVersionLast="47" xr6:coauthVersionMax="47" xr10:uidLastSave="{E171CFA8-D763-4529-B9B2-F850F8F3C64D}"/>
  <bookViews>
    <workbookView xWindow="-108" yWindow="-108" windowWidth="23256" windowHeight="12456" tabRatio="740" firstSheet="1" activeTab="2" xr2:uid="{00000000-000D-0000-FFFF-FFFF00000000}"/>
  </bookViews>
  <sheets>
    <sheet name="Información" sheetId="104" state="hidden" r:id="rId1"/>
    <sheet name="Información del Documento" sheetId="116" r:id="rId2"/>
    <sheet name="Registro de Riesgos" sheetId="112" r:id="rId3"/>
    <sheet name="Matriz" sheetId="115" state="hidden" r:id="rId4"/>
    <sheet name="Matriz Impacto y Probabilidad" sheetId="114" r:id="rId5"/>
  </sheets>
  <definedNames>
    <definedName name="_xlnm._FilterDatabase" localSheetId="0" hidden="1">Información!#REF!</definedName>
    <definedName name="_xlnm._FilterDatabase" localSheetId="3" hidden="1">Matriz!#REF!</definedName>
    <definedName name="_xlnm._FilterDatabase" localSheetId="2" hidden="1">'Registro de Riesgos'!$A$2:$M$10</definedName>
    <definedName name="Criticidad">Información!$B$4:$B$6</definedName>
    <definedName name="Estado">Información!$B$9:$B$12</definedName>
    <definedName name="EstadoRiesgos">Información!$B$18:$B$21</definedName>
    <definedName name="FechaControl">#REF!</definedName>
    <definedName name="ImpactoRiesgo">Información!$I$9:$K$9</definedName>
    <definedName name="ListaFechas" localSheetId="3">#REF!</definedName>
    <definedName name="ListaFechas">#REF!</definedName>
    <definedName name="MatrizRiesgo" comment="Matriz de Riesgos tabuladas">Información!$I$6:$K$8</definedName>
    <definedName name="PrioridadRiesgo">Información!$H$6:$H$8</definedName>
    <definedName name="ProbabilidadRiesgo">Información!$H$6:$H$8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04" l="1"/>
  <c r="O9" i="104"/>
  <c r="O10" i="104"/>
  <c r="O11" i="104"/>
  <c r="O12" i="104"/>
  <c r="O6" i="104"/>
  <c r="O7" i="104"/>
  <c r="O5" i="104"/>
</calcChain>
</file>

<file path=xl/sharedStrings.xml><?xml version="1.0" encoding="utf-8"?>
<sst xmlns="http://schemas.openxmlformats.org/spreadsheetml/2006/main" count="398" uniqueCount="148">
  <si>
    <t>Impacto</t>
  </si>
  <si>
    <t>Estado</t>
  </si>
  <si>
    <t>Fecha Creación</t>
  </si>
  <si>
    <t>Causa</t>
  </si>
  <si>
    <t>Responsable</t>
  </si>
  <si>
    <t>Fecha de Compromiso</t>
  </si>
  <si>
    <t>Abierto</t>
  </si>
  <si>
    <t>Criticidad</t>
  </si>
  <si>
    <t>Tabla de Criticidad</t>
  </si>
  <si>
    <t>Alto</t>
  </si>
  <si>
    <t>Medio</t>
  </si>
  <si>
    <t>Bajo</t>
  </si>
  <si>
    <t>Matriz de Riesgos  - Criticidad</t>
  </si>
  <si>
    <t>Alta</t>
  </si>
  <si>
    <t>Media</t>
  </si>
  <si>
    <t>Baja</t>
  </si>
  <si>
    <t>Tratamiento de Riesgos - Acciones</t>
  </si>
  <si>
    <t>Criticidad = Impacto * Probabilidad</t>
  </si>
  <si>
    <t>1, 2 y 3</t>
  </si>
  <si>
    <t>:   Mayor prioridad, atención obligada, acción inmediata</t>
  </si>
  <si>
    <t>4, 5, 6, 7 y 8</t>
  </si>
  <si>
    <t>:  Prioridad media, decidir entre:</t>
  </si>
  <si>
    <t>Plan de mitigación, si relación costo/beneficio es adecuada</t>
  </si>
  <si>
    <t>Plan de contingencia, si relación costo/beneficio no es adecuada</t>
  </si>
  <si>
    <t>Se ve con una lista (ImpactoRiesgo)</t>
  </si>
  <si>
    <t>Baja prioridad y monitorear Riesgo</t>
  </si>
  <si>
    <t>Probabilidad</t>
  </si>
  <si>
    <t>Cerrado</t>
  </si>
  <si>
    <t>Eliminado</t>
  </si>
  <si>
    <t>Problema</t>
  </si>
  <si>
    <t>Se ve con una lista (ProbabilidadRiesgo)</t>
  </si>
  <si>
    <t>Ejemplo</t>
  </si>
  <si>
    <t>Estado Riesgos</t>
  </si>
  <si>
    <t>Pendiente</t>
  </si>
  <si>
    <t>ID</t>
  </si>
  <si>
    <t>Probabilidad Ocurrencia</t>
  </si>
  <si>
    <t>Respuesta (Evitar, Transferir, Mitigar)</t>
  </si>
  <si>
    <t>Riesgo (Evento)</t>
  </si>
  <si>
    <t>Técnico</t>
  </si>
  <si>
    <t>Seguridad</t>
  </si>
  <si>
    <t>Calendario</t>
  </si>
  <si>
    <t>Costos</t>
  </si>
  <si>
    <t>Clientes y Stakeholders</t>
  </si>
  <si>
    <t>Muy Alto</t>
  </si>
  <si>
    <t>Equipo de Trabajo</t>
  </si>
  <si>
    <t>Muy Bajo</t>
  </si>
  <si>
    <t xml:space="preserve">Bajo </t>
  </si>
  <si>
    <t>Calidad</t>
  </si>
  <si>
    <t>Tipo</t>
  </si>
  <si>
    <t>Registro de Riesgos</t>
  </si>
  <si>
    <t>Comentarios</t>
  </si>
  <si>
    <t xml:space="preserve">Información del documento </t>
  </si>
  <si>
    <t xml:space="preserve">&lt;Incorporara una breve descrición del contenido del documento,  &gt; </t>
  </si>
  <si>
    <t>Nombre Archivo</t>
  </si>
  <si>
    <t xml:space="preserve">        </t>
  </si>
  <si>
    <t>Historial Estructura Documento</t>
  </si>
  <si>
    <t>Fecha</t>
  </si>
  <si>
    <t>Autor / Responsable</t>
  </si>
  <si>
    <t>Versión</t>
  </si>
  <si>
    <t>Descripción</t>
  </si>
  <si>
    <t>1.0</t>
  </si>
  <si>
    <t>Historial Contenido Documento y Bitácora</t>
  </si>
  <si>
    <t>Registro de Riesgos.XLS</t>
  </si>
  <si>
    <t>Sub dirección de Inocuidad y Certificación</t>
  </si>
  <si>
    <t>1.1</t>
  </si>
  <si>
    <t xml:space="preserve">Siscomex-- Gestón Certificados </t>
  </si>
  <si>
    <t>Comunicacional</t>
  </si>
  <si>
    <t>Planificación</t>
  </si>
  <si>
    <t>Infraestructura</t>
  </si>
  <si>
    <t>Gestión</t>
  </si>
  <si>
    <t>En seguimiento</t>
  </si>
  <si>
    <t>Mitigado parcialmente</t>
  </si>
  <si>
    <t>Controlado</t>
  </si>
  <si>
    <t>Cronograma ajustado.</t>
  </si>
  <si>
    <t>Documentación mejorada.</t>
  </si>
  <si>
    <t>Dependencias actualizadas.</t>
  </si>
  <si>
    <t>Pruebas reprogramadas.</t>
  </si>
  <si>
    <t>registro de riesgos</t>
  </si>
  <si>
    <t>se agregan primeros riesgos potenciales del 1 al 6to riesgo</t>
  </si>
  <si>
    <t>se agregan otros riesgos potenciales del 7mo al 15to riesgo</t>
  </si>
  <si>
    <t>Se distribuyó conocimiento.</t>
  </si>
  <si>
    <t>Bruce / David</t>
  </si>
  <si>
    <t>Rotación de tareas.</t>
  </si>
  <si>
    <t>Conocimiento concentrado.</t>
  </si>
  <si>
    <t>Dependencia de un solo desarrollador.</t>
  </si>
  <si>
    <t>Queries optimizadas.</t>
  </si>
  <si>
    <t>Servidor sin optimización.</t>
  </si>
  <si>
    <t>Tiempo de carga elevado.</t>
  </si>
  <si>
    <t>Revisión legal hecha.</t>
  </si>
  <si>
    <t>Desconocimiento normativa.</t>
  </si>
  <si>
    <t>No cumplir con protección de datos.</t>
  </si>
  <si>
    <t>Legal</t>
  </si>
  <si>
    <t>Más interacción solicitada.</t>
  </si>
  <si>
    <t>Baja participación comunidad.</t>
  </si>
  <si>
    <t>Falta de feedback de usuarios.</t>
  </si>
  <si>
    <t>Auto-scale activado.</t>
  </si>
  <si>
    <t>Alto tráfico inesperado.</t>
  </si>
  <si>
    <t>Sobrecarga del servidor.</t>
  </si>
  <si>
    <t>Operativo</t>
  </si>
  <si>
    <t>Pipeline ajustado.</t>
  </si>
  <si>
    <t>Configuración incorrecta de contenedores.</t>
  </si>
  <si>
    <t>Falla en despliegue en Azure.</t>
  </si>
  <si>
    <t>Trello activo.</t>
  </si>
  <si>
    <t>Sin herramientas formales.</t>
  </si>
  <si>
    <t>Desorganización tareas.</t>
  </si>
  <si>
    <t>Unitarias listas.</t>
  </si>
  <si>
    <t>Sin automatización.</t>
  </si>
  <si>
    <t>Poca cobertura pruebas.</t>
  </si>
  <si>
    <t>Doc en progreso.</t>
  </si>
  <si>
    <t>Falta tiempo.</t>
  </si>
  <si>
    <t>Falta documentación.</t>
  </si>
  <si>
    <t>Recursos Humanos</t>
  </si>
  <si>
    <t>Token encriptado.</t>
  </si>
  <si>
    <t>Manejo inseguro tokens.</t>
  </si>
  <si>
    <t>Fuga de datos.</t>
  </si>
  <si>
    <t>Tiempo mejorado.</t>
  </si>
  <si>
    <t>Mala estimación tiempo.</t>
  </si>
  <si>
    <t>Desfase hitos.</t>
  </si>
  <si>
    <t>Pocas pruebas usuario.</t>
  </si>
  <si>
    <t>Errores de usabilidad.</t>
  </si>
  <si>
    <t>Dependencias obsoletas.</t>
  </si>
  <si>
    <t>Incompatibilidad Angular.</t>
  </si>
  <si>
    <t>No validación usuario.</t>
  </si>
  <si>
    <t>Mala interpretación requerimientos.</t>
  </si>
  <si>
    <t>Trabajo remoto.</t>
  </si>
  <si>
    <t>Dependencia internet.</t>
  </si>
  <si>
    <t>Corte eléctrico.</t>
  </si>
  <si>
    <t>Comunicación constante.</t>
  </si>
  <si>
    <t>Sobrecarga personal.</t>
  </si>
  <si>
    <t>Ausencia integrante.</t>
  </si>
  <si>
    <t>Carga académica.</t>
  </si>
  <si>
    <t>Demora equipo.</t>
  </si>
  <si>
    <t>Respaldos activos.</t>
  </si>
  <si>
    <t>Errores configuración.</t>
  </si>
  <si>
    <t>Pérdida info Azure.</t>
  </si>
  <si>
    <t>BD operativa.</t>
  </si>
  <si>
    <t>Limitaciones MySQL.</t>
  </si>
  <si>
    <t>Cambio BD.</t>
  </si>
  <si>
    <t>Pendiente integración.</t>
  </si>
  <si>
    <t>Incompatibilidad versiones.</t>
  </si>
  <si>
    <t>Falla integración FE/BE.</t>
  </si>
  <si>
    <t>Validación digital.</t>
  </si>
  <si>
    <t>Dificultad para coordinar reuniones.</t>
  </si>
  <si>
    <t>Retraso en validaciones por falta de coordinación.</t>
  </si>
  <si>
    <t>Mitigar</t>
  </si>
  <si>
    <t>Evitar</t>
  </si>
  <si>
    <t>Transferir</t>
  </si>
  <si>
    <t>Bruce Larco/David Zurita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</si>
</sst>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20"/>
      <color indexed="8"/>
      <name val="Calibri"/>
      <family val="2"/>
    </font>
    <font>
      <sz val="10"/>
      <color rgb="FF000000"/>
      <name val="Calibri"/>
      <family val="2"/>
    </font>
    <font>
      <b/>
      <sz val="9"/>
      <color rgb="FFFFFFFF"/>
      <name val="Arial"/>
      <family val="2"/>
    </font>
    <font>
      <sz val="9"/>
      <color rgb="FF595959"/>
      <name val="Calibri"/>
      <family val="2"/>
    </font>
    <font>
      <sz val="9"/>
      <color rgb="FF595959"/>
      <name val="Arial"/>
      <family val="2"/>
    </font>
    <font>
      <sz val="10"/>
      <color rgb="FF595959"/>
      <name val="Arial"/>
      <family val="2"/>
    </font>
    <font>
      <b/>
      <sz val="9"/>
      <name val="Calibri"/>
      <family val="2"/>
    </font>
    <font>
      <sz val="14"/>
      <color rgb="FF000066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EFF6D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</borders>
  <cellStyleXfs count="3">
    <xf numFmtId="0" fontId="0" fillId="0" borderId="0"/>
    <xf numFmtId="0" fontId="3" fillId="0" borderId="0"/>
    <xf numFmtId="0" fontId="3" fillId="0" borderId="0" applyBorder="0"/>
  </cellStyleXfs>
  <cellXfs count="97">
    <xf numFmtId="0" fontId="0" fillId="0" borderId="0" xfId="0"/>
    <xf numFmtId="0" fontId="0" fillId="0" borderId="0" xfId="0" applyProtection="1">
      <protection hidden="1"/>
    </xf>
    <xf numFmtId="0" fontId="3" fillId="0" borderId="0" xfId="1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3" xfId="0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0" fontId="0" fillId="6" borderId="2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6" fillId="8" borderId="27" xfId="1" applyFont="1" applyFill="1" applyBorder="1" applyAlignment="1" applyProtection="1">
      <alignment horizontal="center" vertical="center"/>
      <protection hidden="1"/>
    </xf>
    <xf numFmtId="0" fontId="3" fillId="9" borderId="0" xfId="1" applyFill="1" applyProtection="1">
      <protection hidden="1"/>
    </xf>
    <xf numFmtId="0" fontId="3" fillId="9" borderId="16" xfId="1" applyFill="1" applyBorder="1" applyProtection="1"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2" xfId="0" applyBorder="1" applyAlignment="1" applyProtection="1">
      <alignment horizontal="center"/>
      <protection hidden="1"/>
    </xf>
    <xf numFmtId="0" fontId="6" fillId="9" borderId="28" xfId="1" applyFont="1" applyFill="1" applyBorder="1" applyAlignment="1" applyProtection="1">
      <alignment horizontal="center" vertical="center"/>
      <protection hidden="1"/>
    </xf>
    <xf numFmtId="0" fontId="5" fillId="10" borderId="4" xfId="1" applyFont="1" applyFill="1" applyBorder="1" applyAlignment="1" applyProtection="1">
      <alignment horizontal="center" vertical="center"/>
      <protection hidden="1"/>
    </xf>
    <xf numFmtId="0" fontId="5" fillId="7" borderId="5" xfId="1" applyFont="1" applyFill="1" applyBorder="1" applyAlignment="1" applyProtection="1">
      <alignment horizontal="center" vertical="center"/>
      <protection hidden="1"/>
    </xf>
    <xf numFmtId="0" fontId="5" fillId="5" borderId="4" xfId="1" applyFont="1" applyFill="1" applyBorder="1" applyAlignment="1" applyProtection="1">
      <alignment horizontal="center" vertical="center"/>
      <protection hidden="1"/>
    </xf>
    <xf numFmtId="0" fontId="5" fillId="10" borderId="5" xfId="1" applyFont="1" applyFill="1" applyBorder="1" applyAlignment="1" applyProtection="1">
      <alignment horizontal="center" vertical="center"/>
      <protection hidden="1"/>
    </xf>
    <xf numFmtId="0" fontId="0" fillId="0" borderId="11" xfId="0" applyBorder="1" applyProtection="1">
      <protection hidden="1"/>
    </xf>
    <xf numFmtId="0" fontId="0" fillId="0" borderId="12" xfId="0" applyBorder="1" applyProtection="1">
      <protection hidden="1"/>
    </xf>
    <xf numFmtId="0" fontId="5" fillId="11" borderId="7" xfId="1" applyFont="1" applyFill="1" applyBorder="1" applyAlignment="1" applyProtection="1">
      <alignment horizontal="center" vertical="center"/>
      <protection hidden="1"/>
    </xf>
    <xf numFmtId="0" fontId="5" fillId="5" borderId="8" xfId="1" applyFont="1" applyFill="1" applyBorder="1" applyAlignment="1" applyProtection="1">
      <alignment horizontal="center" vertical="center"/>
      <protection hidden="1"/>
    </xf>
    <xf numFmtId="0" fontId="5" fillId="10" borderId="8" xfId="1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6" fillId="8" borderId="28" xfId="1" applyFont="1" applyFill="1" applyBorder="1" applyAlignment="1" applyProtection="1">
      <alignment horizontal="center" vertical="center"/>
      <protection hidden="1"/>
    </xf>
    <xf numFmtId="0" fontId="3" fillId="9" borderId="17" xfId="1" applyFill="1" applyBorder="1" applyProtection="1">
      <protection hidden="1"/>
    </xf>
    <xf numFmtId="0" fontId="3" fillId="9" borderId="18" xfId="1" applyFill="1" applyBorder="1" applyProtection="1">
      <protection hidden="1"/>
    </xf>
    <xf numFmtId="0" fontId="3" fillId="9" borderId="19" xfId="1" applyFill="1" applyBorder="1" applyProtection="1">
      <protection hidden="1"/>
    </xf>
    <xf numFmtId="0" fontId="7" fillId="0" borderId="35" xfId="1" applyFont="1" applyBorder="1" applyAlignment="1" applyProtection="1">
      <alignment horizontal="center" vertical="center"/>
      <protection hidden="1"/>
    </xf>
    <xf numFmtId="49" fontId="7" fillId="0" borderId="37" xfId="1" applyNumberFormat="1" applyFont="1" applyBorder="1" applyAlignment="1" applyProtection="1">
      <alignment horizontal="center" vertical="center"/>
      <protection hidden="1"/>
    </xf>
    <xf numFmtId="0" fontId="4" fillId="12" borderId="5" xfId="2" applyFont="1" applyFill="1" applyBorder="1" applyAlignment="1" applyProtection="1">
      <alignment horizontal="center" vertical="center" wrapText="1"/>
      <protection locked="0" hidden="1"/>
    </xf>
    <xf numFmtId="0" fontId="10" fillId="14" borderId="23" xfId="0" applyFont="1" applyFill="1" applyBorder="1" applyAlignment="1">
      <alignment horizontal="justify"/>
    </xf>
    <xf numFmtId="0" fontId="10" fillId="0" borderId="19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3" borderId="19" xfId="0" applyFont="1" applyFill="1" applyBorder="1" applyAlignment="1">
      <alignment horizontal="justify"/>
    </xf>
    <xf numFmtId="0" fontId="10" fillId="15" borderId="19" xfId="0" applyFont="1" applyFill="1" applyBorder="1" applyAlignment="1">
      <alignment horizontal="justify"/>
    </xf>
    <xf numFmtId="0" fontId="10" fillId="4" borderId="19" xfId="0" applyFont="1" applyFill="1" applyBorder="1" applyAlignment="1">
      <alignment horizontal="justify"/>
    </xf>
    <xf numFmtId="0" fontId="10" fillId="16" borderId="19" xfId="0" applyFont="1" applyFill="1" applyBorder="1" applyAlignment="1">
      <alignment horizontal="justify"/>
    </xf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10" fillId="0" borderId="5" xfId="0" applyFont="1" applyBorder="1" applyAlignment="1">
      <alignment horizontal="center" vertical="center"/>
    </xf>
    <xf numFmtId="0" fontId="15" fillId="18" borderId="41" xfId="0" applyFont="1" applyFill="1" applyBorder="1" applyAlignment="1">
      <alignment horizontal="center" vertical="center" wrapText="1"/>
    </xf>
    <xf numFmtId="14" fontId="12" fillId="0" borderId="41" xfId="0" applyNumberFormat="1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left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6" fillId="0" borderId="0" xfId="0" applyFont="1"/>
    <xf numFmtId="14" fontId="16" fillId="0" borderId="0" xfId="0" applyNumberFormat="1" applyFont="1"/>
    <xf numFmtId="0" fontId="9" fillId="13" borderId="40" xfId="0" applyFont="1" applyFill="1" applyBorder="1" applyAlignment="1" applyProtection="1">
      <alignment horizontal="center" vertical="distributed"/>
      <protection hidden="1"/>
    </xf>
    <xf numFmtId="0" fontId="9" fillId="13" borderId="39" xfId="0" applyFont="1" applyFill="1" applyBorder="1" applyAlignment="1" applyProtection="1">
      <alignment horizontal="center" vertical="distributed"/>
      <protection hidden="1"/>
    </xf>
    <xf numFmtId="0" fontId="0" fillId="0" borderId="0" xfId="0" applyAlignment="1">
      <alignment horizontal="center"/>
    </xf>
    <xf numFmtId="0" fontId="0" fillId="19" borderId="0" xfId="0" applyFill="1"/>
    <xf numFmtId="14" fontId="0" fillId="0" borderId="0" xfId="0" applyNumberFormat="1"/>
    <xf numFmtId="0" fontId="0" fillId="3" borderId="0" xfId="0" applyFill="1"/>
    <xf numFmtId="0" fontId="0" fillId="4" borderId="0" xfId="0" applyFill="1"/>
    <xf numFmtId="0" fontId="0" fillId="20" borderId="0" xfId="0" applyFill="1"/>
    <xf numFmtId="0" fontId="0" fillId="21" borderId="0" xfId="0" applyFill="1"/>
    <xf numFmtId="0" fontId="3" fillId="0" borderId="36" xfId="1" applyBorder="1" applyAlignment="1" applyProtection="1">
      <alignment horizontal="left" vertical="top" wrapText="1"/>
      <protection hidden="1"/>
    </xf>
    <xf numFmtId="0" fontId="3" fillId="0" borderId="33" xfId="1" applyBorder="1" applyAlignment="1" applyProtection="1">
      <alignment horizontal="left" vertical="top" wrapText="1"/>
      <protection hidden="1"/>
    </xf>
    <xf numFmtId="0" fontId="3" fillId="0" borderId="34" xfId="1" applyBorder="1" applyAlignment="1" applyProtection="1">
      <alignment horizontal="left" vertical="top" wrapText="1"/>
      <protection hidden="1"/>
    </xf>
    <xf numFmtId="0" fontId="1" fillId="3" borderId="13" xfId="0" applyFont="1" applyFill="1" applyBorder="1" applyAlignment="1" applyProtection="1">
      <alignment horizontal="center" vertical="center"/>
      <protection hidden="1"/>
    </xf>
    <xf numFmtId="0" fontId="1" fillId="3" borderId="22" xfId="0" applyFont="1" applyFill="1" applyBorder="1" applyAlignment="1" applyProtection="1">
      <alignment horizontal="center" vertical="center"/>
      <protection hidden="1"/>
    </xf>
    <xf numFmtId="0" fontId="1" fillId="0" borderId="32" xfId="0" applyFont="1" applyBorder="1" applyAlignment="1" applyProtection="1">
      <alignment horizontal="left" vertical="top"/>
      <protection hidden="1"/>
    </xf>
    <xf numFmtId="0" fontId="1" fillId="0" borderId="33" xfId="0" applyFont="1" applyBorder="1" applyAlignment="1" applyProtection="1">
      <alignment horizontal="left" vertical="top"/>
      <protection hidden="1"/>
    </xf>
    <xf numFmtId="0" fontId="1" fillId="0" borderId="34" xfId="0" applyFont="1" applyBorder="1" applyAlignment="1" applyProtection="1">
      <alignment horizontal="left" vertical="top"/>
      <protection hidden="1"/>
    </xf>
    <xf numFmtId="0" fontId="3" fillId="0" borderId="36" xfId="1" applyBorder="1" applyAlignment="1" applyProtection="1">
      <alignment horizontal="left" vertical="top"/>
      <protection hidden="1"/>
    </xf>
    <xf numFmtId="0" fontId="3" fillId="0" borderId="33" xfId="1" applyBorder="1" applyAlignment="1" applyProtection="1">
      <alignment horizontal="left" vertical="top"/>
      <protection hidden="1"/>
    </xf>
    <xf numFmtId="0" fontId="3" fillId="0" borderId="34" xfId="1" applyBorder="1" applyAlignment="1" applyProtection="1">
      <alignment horizontal="left" vertical="top"/>
      <protection hidden="1"/>
    </xf>
    <xf numFmtId="0" fontId="3" fillId="0" borderId="36" xfId="1" applyBorder="1" applyAlignment="1" applyProtection="1">
      <alignment horizontal="left" vertical="top" wrapText="1" indent="4"/>
      <protection hidden="1"/>
    </xf>
    <xf numFmtId="0" fontId="3" fillId="0" borderId="33" xfId="1" applyBorder="1" applyAlignment="1" applyProtection="1">
      <alignment horizontal="left" vertical="top" wrapText="1" indent="4"/>
      <protection hidden="1"/>
    </xf>
    <xf numFmtId="0" fontId="3" fillId="0" borderId="34" xfId="1" applyBorder="1" applyAlignment="1" applyProtection="1">
      <alignment horizontal="left" vertical="top" wrapText="1" indent="4"/>
      <protection hidden="1"/>
    </xf>
    <xf numFmtId="0" fontId="1" fillId="3" borderId="20" xfId="0" applyFont="1" applyFill="1" applyBorder="1" applyAlignment="1" applyProtection="1">
      <alignment horizontal="center" vertical="center"/>
      <protection hidden="1"/>
    </xf>
    <xf numFmtId="0" fontId="1" fillId="3" borderId="21" xfId="0" applyFont="1" applyFill="1" applyBorder="1" applyAlignment="1" applyProtection="1">
      <alignment horizontal="center" vertical="center"/>
      <protection hidden="1"/>
    </xf>
    <xf numFmtId="0" fontId="8" fillId="8" borderId="24" xfId="1" applyFont="1" applyFill="1" applyBorder="1" applyAlignment="1" applyProtection="1">
      <alignment horizontal="center"/>
      <protection hidden="1"/>
    </xf>
    <xf numFmtId="0" fontId="8" fillId="8" borderId="25" xfId="1" applyFont="1" applyFill="1" applyBorder="1" applyAlignment="1" applyProtection="1">
      <alignment horizontal="center"/>
      <protection hidden="1"/>
    </xf>
    <xf numFmtId="0" fontId="8" fillId="8" borderId="26" xfId="1" applyFont="1" applyFill="1" applyBorder="1" applyAlignment="1" applyProtection="1">
      <alignment horizontal="center"/>
      <protection hidden="1"/>
    </xf>
    <xf numFmtId="0" fontId="8" fillId="9" borderId="15" xfId="1" applyFont="1" applyFill="1" applyBorder="1" applyAlignment="1" applyProtection="1">
      <alignment horizontal="center" vertical="center" textRotation="90"/>
      <protection hidden="1"/>
    </xf>
    <xf numFmtId="0" fontId="8" fillId="9" borderId="18" xfId="1" applyFont="1" applyFill="1" applyBorder="1" applyAlignment="1" applyProtection="1">
      <alignment horizontal="center" vertical="center"/>
      <protection hidden="1"/>
    </xf>
    <xf numFmtId="0" fontId="1" fillId="8" borderId="29" xfId="0" applyFont="1" applyFill="1" applyBorder="1" applyAlignment="1" applyProtection="1">
      <alignment horizontal="center" vertical="center"/>
      <protection hidden="1"/>
    </xf>
    <xf numFmtId="0" fontId="1" fillId="8" borderId="30" xfId="0" applyFont="1" applyFill="1" applyBorder="1" applyAlignment="1" applyProtection="1">
      <alignment horizontal="center" vertical="center"/>
      <protection hidden="1"/>
    </xf>
    <xf numFmtId="0" fontId="1" fillId="8" borderId="31" xfId="0" applyFont="1" applyFill="1" applyBorder="1" applyAlignment="1" applyProtection="1">
      <alignment horizontal="center" vertical="center"/>
      <protection hidden="1"/>
    </xf>
    <xf numFmtId="0" fontId="11" fillId="17" borderId="41" xfId="0" applyFont="1" applyFill="1" applyBorder="1" applyAlignment="1">
      <alignment horizontal="center" vertical="center" wrapText="1"/>
    </xf>
    <xf numFmtId="0" fontId="11" fillId="17" borderId="41" xfId="0" applyFont="1" applyFill="1" applyBorder="1" applyAlignment="1">
      <alignment horizontal="justify" vertical="center" wrapText="1"/>
    </xf>
    <xf numFmtId="0" fontId="12" fillId="0" borderId="41" xfId="0" applyFont="1" applyBorder="1" applyAlignment="1">
      <alignment horizontal="justify" vertical="center" wrapText="1"/>
    </xf>
    <xf numFmtId="0" fontId="13" fillId="2" borderId="41" xfId="0" applyFont="1" applyFill="1" applyBorder="1" applyAlignment="1">
      <alignment horizontal="justify" vertical="center" wrapText="1"/>
    </xf>
    <xf numFmtId="0" fontId="14" fillId="2" borderId="41" xfId="0" applyFont="1" applyFill="1" applyBorder="1" applyAlignment="1">
      <alignment horizontal="justify" vertical="center" wrapText="1"/>
    </xf>
    <xf numFmtId="0" fontId="10" fillId="14" borderId="13" xfId="0" applyFont="1" applyFill="1" applyBorder="1" applyAlignment="1">
      <alignment horizontal="center"/>
    </xf>
    <xf numFmtId="0" fontId="10" fillId="14" borderId="14" xfId="0" applyFont="1" applyFill="1" applyBorder="1" applyAlignment="1">
      <alignment horizontal="center"/>
    </xf>
    <xf numFmtId="0" fontId="10" fillId="14" borderId="22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_Matriz de Riesgos" xfId="2" xr:uid="{00000000-0005-0000-0000-000002000000}"/>
  </cellStyles>
  <dxfs count="53"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  <color rgb="FF000066"/>
      <color rgb="FF9EFF6D"/>
      <color rgb="FF66FF66"/>
      <color rgb="FFFFFF00"/>
      <color rgb="FF00FF00"/>
      <color rgb="FFCCFF99"/>
      <color rgb="FF009900"/>
      <color rgb="FFFFFF99"/>
      <color rgb="FFBEFE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8">
    <tabColor rgb="FFFFC000"/>
  </sheetPr>
  <dimension ref="B2:Q21"/>
  <sheetViews>
    <sheetView topLeftCell="C1" zoomScale="120" zoomScaleNormal="120" workbookViewId="0">
      <selection activeCell="N9" sqref="N9"/>
    </sheetView>
  </sheetViews>
  <sheetFormatPr baseColWidth="10" defaultColWidth="11.44140625" defaultRowHeight="14.4" x14ac:dyDescent="0.3"/>
  <cols>
    <col min="1" max="1" width="11.44140625" style="1"/>
    <col min="2" max="2" width="14" style="1" customWidth="1"/>
    <col min="3" max="8" width="11.44140625" style="1"/>
    <col min="9" max="9" width="7.5546875" style="1" customWidth="1"/>
    <col min="10" max="10" width="8.88671875" style="1" customWidth="1"/>
    <col min="11" max="11" width="9.109375" style="1" customWidth="1"/>
    <col min="12" max="16384" width="11.44140625" style="1"/>
  </cols>
  <sheetData>
    <row r="2" spans="2:17" ht="15" thickBot="1" x14ac:dyDescent="0.35">
      <c r="O2" s="1" t="s">
        <v>31</v>
      </c>
    </row>
    <row r="3" spans="2:17" ht="58.2" thickBot="1" x14ac:dyDescent="0.35">
      <c r="B3" s="78" t="s">
        <v>8</v>
      </c>
      <c r="C3" s="79"/>
      <c r="G3" s="2"/>
      <c r="H3" s="2"/>
      <c r="I3" s="2"/>
      <c r="J3" s="2"/>
      <c r="K3" s="2"/>
      <c r="L3" s="2"/>
      <c r="P3" s="3" t="s">
        <v>30</v>
      </c>
      <c r="Q3" s="3" t="s">
        <v>24</v>
      </c>
    </row>
    <row r="4" spans="2:17" ht="16.2" thickBot="1" x14ac:dyDescent="0.35">
      <c r="B4" s="4" t="s">
        <v>9</v>
      </c>
      <c r="C4" s="5">
        <v>3</v>
      </c>
      <c r="G4" s="80" t="s">
        <v>12</v>
      </c>
      <c r="H4" s="81"/>
      <c r="I4" s="81"/>
      <c r="J4" s="81"/>
      <c r="K4" s="81"/>
      <c r="L4" s="82"/>
      <c r="O4" s="6" t="s">
        <v>7</v>
      </c>
      <c r="P4" s="7" t="s">
        <v>26</v>
      </c>
      <c r="Q4" s="8" t="s">
        <v>0</v>
      </c>
    </row>
    <row r="5" spans="2:17" x14ac:dyDescent="0.3">
      <c r="B5" s="4" t="s">
        <v>10</v>
      </c>
      <c r="C5" s="5">
        <v>2</v>
      </c>
      <c r="G5" s="83"/>
      <c r="H5" s="9" t="s">
        <v>26</v>
      </c>
      <c r="I5" s="10"/>
      <c r="J5" s="10"/>
      <c r="K5" s="10"/>
      <c r="L5" s="11"/>
      <c r="O5" s="12">
        <f t="shared" ref="O5:O12" si="0">INDEX(MatrizRiesgo,MATCH(P5,ProbabilidadRiesgo,0),MATCH(Q5,ImpactoRiesgo,0))</f>
        <v>1</v>
      </c>
      <c r="P5" s="13" t="s">
        <v>13</v>
      </c>
      <c r="Q5" s="14" t="s">
        <v>9</v>
      </c>
    </row>
    <row r="6" spans="2:17" ht="21" thickBot="1" x14ac:dyDescent="0.35">
      <c r="B6" s="15" t="s">
        <v>11</v>
      </c>
      <c r="C6" s="16">
        <v>1</v>
      </c>
      <c r="G6" s="83"/>
      <c r="H6" s="17" t="s">
        <v>13</v>
      </c>
      <c r="I6" s="18">
        <v>4</v>
      </c>
      <c r="J6" s="19">
        <v>2</v>
      </c>
      <c r="K6" s="19">
        <v>1</v>
      </c>
      <c r="L6" s="11"/>
      <c r="O6" s="12">
        <f t="shared" si="0"/>
        <v>3</v>
      </c>
      <c r="P6" s="13" t="s">
        <v>14</v>
      </c>
      <c r="Q6" s="14" t="s">
        <v>9</v>
      </c>
    </row>
    <row r="7" spans="2:17" ht="21" thickBot="1" x14ac:dyDescent="0.35">
      <c r="G7" s="83"/>
      <c r="H7" s="17" t="s">
        <v>14</v>
      </c>
      <c r="I7" s="20">
        <v>7</v>
      </c>
      <c r="J7" s="21">
        <v>5</v>
      </c>
      <c r="K7" s="19">
        <v>3</v>
      </c>
      <c r="L7" s="11"/>
      <c r="O7" s="12">
        <f t="shared" si="0"/>
        <v>9</v>
      </c>
      <c r="P7" s="22" t="s">
        <v>15</v>
      </c>
      <c r="Q7" s="23" t="s">
        <v>11</v>
      </c>
    </row>
    <row r="8" spans="2:17" ht="21" thickBot="1" x14ac:dyDescent="0.35">
      <c r="B8" s="67" t="s">
        <v>1</v>
      </c>
      <c r="C8" s="68"/>
      <c r="G8" s="83"/>
      <c r="H8" s="17" t="s">
        <v>15</v>
      </c>
      <c r="I8" s="24">
        <v>9</v>
      </c>
      <c r="J8" s="25">
        <v>8</v>
      </c>
      <c r="K8" s="26">
        <v>6</v>
      </c>
      <c r="L8" s="11"/>
      <c r="O8" s="12">
        <f t="shared" si="0"/>
        <v>7</v>
      </c>
      <c r="P8" s="22" t="s">
        <v>14</v>
      </c>
      <c r="Q8" s="23" t="s">
        <v>11</v>
      </c>
    </row>
    <row r="9" spans="2:17" ht="15" thickBot="1" x14ac:dyDescent="0.35">
      <c r="B9" s="27" t="s">
        <v>6</v>
      </c>
      <c r="C9" s="28"/>
      <c r="G9" s="83"/>
      <c r="H9" s="10"/>
      <c r="I9" s="17" t="s">
        <v>11</v>
      </c>
      <c r="J9" s="17" t="s">
        <v>10</v>
      </c>
      <c r="K9" s="17" t="s">
        <v>9</v>
      </c>
      <c r="L9" s="29" t="s">
        <v>0</v>
      </c>
      <c r="O9" s="12">
        <f t="shared" si="0"/>
        <v>4</v>
      </c>
      <c r="P9" s="22" t="s">
        <v>13</v>
      </c>
      <c r="Q9" s="23" t="s">
        <v>11</v>
      </c>
    </row>
    <row r="10" spans="2:17" ht="16.2" thickBot="1" x14ac:dyDescent="0.35">
      <c r="B10" s="4" t="s">
        <v>27</v>
      </c>
      <c r="C10" s="5"/>
      <c r="G10" s="30"/>
      <c r="H10" s="31"/>
      <c r="I10" s="84"/>
      <c r="J10" s="84"/>
      <c r="K10" s="84"/>
      <c r="L10" s="32"/>
      <c r="O10" s="12">
        <f t="shared" si="0"/>
        <v>7</v>
      </c>
      <c r="P10" s="22" t="s">
        <v>14</v>
      </c>
      <c r="Q10" s="23" t="s">
        <v>11</v>
      </c>
    </row>
    <row r="11" spans="2:17" ht="15" thickBot="1" x14ac:dyDescent="0.35">
      <c r="B11" s="4" t="s">
        <v>28</v>
      </c>
      <c r="C11" s="5"/>
      <c r="O11" s="12">
        <f t="shared" si="0"/>
        <v>9</v>
      </c>
      <c r="P11" s="22" t="s">
        <v>15</v>
      </c>
      <c r="Q11" s="23" t="s">
        <v>11</v>
      </c>
    </row>
    <row r="12" spans="2:17" ht="15" thickBot="1" x14ac:dyDescent="0.35">
      <c r="B12" s="15" t="s">
        <v>29</v>
      </c>
      <c r="C12" s="16"/>
      <c r="G12" s="85" t="s">
        <v>16</v>
      </c>
      <c r="H12" s="86"/>
      <c r="I12" s="86"/>
      <c r="J12" s="86"/>
      <c r="K12" s="86"/>
      <c r="L12" s="87"/>
      <c r="O12" s="12">
        <f t="shared" si="0"/>
        <v>4</v>
      </c>
      <c r="P12" s="22" t="s">
        <v>13</v>
      </c>
      <c r="Q12" s="23" t="s">
        <v>11</v>
      </c>
    </row>
    <row r="13" spans="2:17" x14ac:dyDescent="0.3">
      <c r="G13" s="69" t="s">
        <v>17</v>
      </c>
      <c r="H13" s="70"/>
      <c r="I13" s="70"/>
      <c r="J13" s="70"/>
      <c r="K13" s="70"/>
      <c r="L13" s="71"/>
    </row>
    <row r="14" spans="2:17" x14ac:dyDescent="0.3">
      <c r="G14" s="33" t="s">
        <v>18</v>
      </c>
      <c r="H14" s="72" t="s">
        <v>19</v>
      </c>
      <c r="I14" s="73"/>
      <c r="J14" s="73"/>
      <c r="K14" s="73"/>
      <c r="L14" s="74"/>
    </row>
    <row r="15" spans="2:17" x14ac:dyDescent="0.3">
      <c r="G15" s="33" t="s">
        <v>20</v>
      </c>
      <c r="H15" s="64" t="s">
        <v>21</v>
      </c>
      <c r="I15" s="65"/>
      <c r="J15" s="65"/>
      <c r="K15" s="65"/>
      <c r="L15" s="66"/>
    </row>
    <row r="16" spans="2:17" ht="29.25" customHeight="1" thickBot="1" x14ac:dyDescent="0.35">
      <c r="G16" s="33"/>
      <c r="H16" s="75" t="s">
        <v>22</v>
      </c>
      <c r="I16" s="76"/>
      <c r="J16" s="76"/>
      <c r="K16" s="76"/>
      <c r="L16" s="77"/>
    </row>
    <row r="17" spans="2:12" ht="29.25" customHeight="1" thickBot="1" x14ac:dyDescent="0.35">
      <c r="B17" s="67" t="s">
        <v>32</v>
      </c>
      <c r="C17" s="68"/>
      <c r="G17" s="33"/>
      <c r="H17" s="75" t="s">
        <v>23</v>
      </c>
      <c r="I17" s="76"/>
      <c r="J17" s="76"/>
      <c r="K17" s="76"/>
      <c r="L17" s="77"/>
    </row>
    <row r="18" spans="2:12" ht="15" thickBot="1" x14ac:dyDescent="0.35">
      <c r="B18" s="27" t="s">
        <v>33</v>
      </c>
      <c r="C18" s="28"/>
      <c r="G18" s="34">
        <v>9</v>
      </c>
      <c r="H18" s="64" t="s">
        <v>25</v>
      </c>
      <c r="I18" s="65"/>
      <c r="J18" s="65"/>
      <c r="K18" s="65"/>
      <c r="L18" s="66"/>
    </row>
    <row r="19" spans="2:12" x14ac:dyDescent="0.3">
      <c r="B19" s="4" t="s">
        <v>27</v>
      </c>
      <c r="C19" s="5"/>
    </row>
    <row r="20" spans="2:12" x14ac:dyDescent="0.3">
      <c r="B20" s="4" t="s">
        <v>28</v>
      </c>
      <c r="C20" s="5"/>
    </row>
    <row r="21" spans="2:12" ht="15" thickBot="1" x14ac:dyDescent="0.35">
      <c r="B21" s="15" t="s">
        <v>29</v>
      </c>
      <c r="C21" s="16"/>
    </row>
  </sheetData>
  <sheetProtection sheet="1" objects="1" scenarios="1"/>
  <mergeCells count="13">
    <mergeCell ref="B3:C3"/>
    <mergeCell ref="G4:L4"/>
    <mergeCell ref="G5:G9"/>
    <mergeCell ref="I10:K10"/>
    <mergeCell ref="G12:L12"/>
    <mergeCell ref="H18:L18"/>
    <mergeCell ref="B8:C8"/>
    <mergeCell ref="G13:L13"/>
    <mergeCell ref="H14:L14"/>
    <mergeCell ref="H15:L15"/>
    <mergeCell ref="H16:L16"/>
    <mergeCell ref="H17:L17"/>
    <mergeCell ref="B17:C17"/>
  </mergeCells>
  <conditionalFormatting sqref="O5:O12"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Q5:Q12" xr:uid="{00000000-0002-0000-0000-000000000000}">
      <formula1>ImpactoRiesgo</formula1>
    </dataValidation>
    <dataValidation type="list" allowBlank="1" showInputMessage="1" showErrorMessage="1" sqref="P5:P12" xr:uid="{00000000-0002-0000-0000-000001000000}">
      <formula1>ProbabilidadRiesgo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2AF39690-D233-4A0B-BBDF-2CD25F0DF700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C4:C6</xm:sqref>
        </x14:conditionalFormatting>
        <x14:conditionalFormatting xmlns:xm="http://schemas.microsoft.com/office/excel/2006/main">
          <x14:cfRule type="iconSet" priority="4" id="{AF4853A1-2ADE-4937-A700-9444D37D3924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C9:C11</xm:sqref>
        </x14:conditionalFormatting>
        <x14:conditionalFormatting xmlns:xm="http://schemas.microsoft.com/office/excel/2006/main">
          <x14:cfRule type="iconSet" priority="3" id="{06D4FA7B-D869-4CD5-A5EC-B96DF1542684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C12</xm:sqref>
        </x14:conditionalFormatting>
        <x14:conditionalFormatting xmlns:xm="http://schemas.microsoft.com/office/excel/2006/main">
          <x14:cfRule type="iconSet" priority="2" id="{48F9F5AE-BE3E-4997-BF2C-F2D3D71FEBD2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C18:C20</xm:sqref>
        </x14:conditionalFormatting>
        <x14:conditionalFormatting xmlns:xm="http://schemas.microsoft.com/office/excel/2006/main">
          <x14:cfRule type="iconSet" priority="1" id="{3584219A-03E5-4D38-B477-1EBC7A7EF94F}">
            <x14:iconSet iconSet="3Symbols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2"/>
              <x14:cfIcon iconSet="3Symbols" iconId="1"/>
              <x14:cfIcon iconSet="3Symbols" iconId="0"/>
            </x14:iconSet>
          </x14:cfRule>
          <xm:sqref>C21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topLeftCell="A4" workbookViewId="0">
      <selection activeCell="B27" sqref="B27"/>
    </sheetView>
  </sheetViews>
  <sheetFormatPr baseColWidth="10" defaultRowHeight="14.4" x14ac:dyDescent="0.3"/>
  <cols>
    <col min="1" max="1" width="26" bestFit="1" customWidth="1"/>
    <col min="2" max="2" width="32.5546875" customWidth="1"/>
    <col min="3" max="3" width="28.33203125" customWidth="1"/>
    <col min="4" max="4" width="54.6640625" customWidth="1"/>
  </cols>
  <sheetData>
    <row r="1" spans="1:4" ht="18" x14ac:dyDescent="0.35">
      <c r="A1" s="53" t="s">
        <v>63</v>
      </c>
    </row>
    <row r="2" spans="1:4" ht="18" x14ac:dyDescent="0.35">
      <c r="A2" s="53" t="s">
        <v>65</v>
      </c>
    </row>
    <row r="3" spans="1:4" ht="18" x14ac:dyDescent="0.35">
      <c r="A3" s="54">
        <v>42852</v>
      </c>
    </row>
    <row r="5" spans="1:4" x14ac:dyDescent="0.3">
      <c r="A5" s="89" t="s">
        <v>51</v>
      </c>
      <c r="B5" s="89"/>
      <c r="C5" s="89"/>
      <c r="D5" s="89"/>
    </row>
    <row r="6" spans="1:4" x14ac:dyDescent="0.3">
      <c r="A6" s="90" t="s">
        <v>52</v>
      </c>
      <c r="B6" s="90"/>
      <c r="C6" s="90"/>
      <c r="D6" s="90"/>
    </row>
    <row r="7" spans="1:4" x14ac:dyDescent="0.3">
      <c r="A7" s="89" t="s">
        <v>53</v>
      </c>
      <c r="B7" s="89"/>
      <c r="C7" s="89"/>
      <c r="D7" s="89"/>
    </row>
    <row r="8" spans="1:4" x14ac:dyDescent="0.3">
      <c r="A8" s="91" t="s">
        <v>62</v>
      </c>
      <c r="B8" s="91"/>
      <c r="C8" s="91"/>
      <c r="D8" s="91"/>
    </row>
    <row r="9" spans="1:4" x14ac:dyDescent="0.3">
      <c r="A9" s="92" t="s">
        <v>54</v>
      </c>
      <c r="B9" s="92"/>
      <c r="C9" s="92"/>
      <c r="D9" s="92"/>
    </row>
    <row r="10" spans="1:4" x14ac:dyDescent="0.3">
      <c r="A10" s="88" t="s">
        <v>55</v>
      </c>
      <c r="B10" s="88"/>
      <c r="C10" s="88"/>
      <c r="D10" s="88"/>
    </row>
    <row r="11" spans="1:4" x14ac:dyDescent="0.3">
      <c r="A11" s="46" t="s">
        <v>56</v>
      </c>
      <c r="B11" s="46" t="s">
        <v>57</v>
      </c>
      <c r="C11" s="46" t="s">
        <v>58</v>
      </c>
      <c r="D11" s="46" t="s">
        <v>59</v>
      </c>
    </row>
    <row r="12" spans="1:4" x14ac:dyDescent="0.3">
      <c r="A12" s="47">
        <v>45976</v>
      </c>
      <c r="B12" s="48" t="s">
        <v>147</v>
      </c>
      <c r="C12" s="48" t="s">
        <v>60</v>
      </c>
      <c r="D12" s="49" t="s">
        <v>77</v>
      </c>
    </row>
    <row r="13" spans="1:4" x14ac:dyDescent="0.3">
      <c r="A13" s="50"/>
      <c r="B13" s="51"/>
      <c r="C13" s="51"/>
      <c r="D13" s="52"/>
    </row>
    <row r="14" spans="1:4" x14ac:dyDescent="0.3">
      <c r="A14" s="51"/>
      <c r="B14" s="51"/>
      <c r="C14" s="51"/>
      <c r="D14" s="52"/>
    </row>
    <row r="15" spans="1:4" x14ac:dyDescent="0.3">
      <c r="A15" s="88" t="s">
        <v>61</v>
      </c>
      <c r="B15" s="88"/>
      <c r="C15" s="88"/>
      <c r="D15" s="88"/>
    </row>
    <row r="16" spans="1:4" x14ac:dyDescent="0.3">
      <c r="A16" s="46" t="s">
        <v>56</v>
      </c>
      <c r="B16" s="46" t="s">
        <v>57</v>
      </c>
      <c r="C16" s="46" t="s">
        <v>58</v>
      </c>
      <c r="D16" s="46" t="s">
        <v>59</v>
      </c>
    </row>
    <row r="17" spans="1:4" x14ac:dyDescent="0.3">
      <c r="A17" s="47">
        <v>45972</v>
      </c>
      <c r="B17" s="48" t="s">
        <v>147</v>
      </c>
      <c r="C17" s="48" t="s">
        <v>60</v>
      </c>
      <c r="D17" s="49" t="s">
        <v>78</v>
      </c>
    </row>
    <row r="18" spans="1:4" x14ac:dyDescent="0.3">
      <c r="A18" s="47">
        <v>45976</v>
      </c>
      <c r="B18" s="48" t="s">
        <v>147</v>
      </c>
      <c r="C18" s="48" t="s">
        <v>64</v>
      </c>
      <c r="D18" s="49" t="s">
        <v>79</v>
      </c>
    </row>
    <row r="19" spans="1:4" x14ac:dyDescent="0.3">
      <c r="A19" s="47"/>
      <c r="B19" s="48"/>
      <c r="C19" s="48"/>
      <c r="D19" s="49"/>
    </row>
    <row r="20" spans="1:4" x14ac:dyDescent="0.3">
      <c r="A20" s="47"/>
      <c r="B20" s="48"/>
      <c r="C20" s="48"/>
      <c r="D20" s="49"/>
    </row>
    <row r="21" spans="1:4" x14ac:dyDescent="0.3">
      <c r="A21" s="47"/>
      <c r="B21" s="48"/>
      <c r="C21" s="48"/>
      <c r="D21" s="49"/>
    </row>
    <row r="22" spans="1:4" x14ac:dyDescent="0.3">
      <c r="A22" s="47"/>
      <c r="B22" s="48"/>
      <c r="C22" s="48"/>
      <c r="D22" s="49"/>
    </row>
    <row r="23" spans="1:4" x14ac:dyDescent="0.3">
      <c r="A23" s="47"/>
      <c r="B23" s="48"/>
      <c r="C23" s="48"/>
      <c r="D23" s="49"/>
    </row>
  </sheetData>
  <mergeCells count="7">
    <mergeCell ref="A15:D15"/>
    <mergeCell ref="A5:D5"/>
    <mergeCell ref="A6:D6"/>
    <mergeCell ref="A7:D7"/>
    <mergeCell ref="A8:D8"/>
    <mergeCell ref="A9:D9"/>
    <mergeCell ref="A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M32"/>
  <sheetViews>
    <sheetView tabSelected="1" topLeftCell="D1" zoomScale="85" zoomScaleNormal="85" workbookViewId="0">
      <selection activeCell="L37" sqref="L37"/>
    </sheetView>
  </sheetViews>
  <sheetFormatPr baseColWidth="10" defaultRowHeight="14.4" x14ac:dyDescent="0.3"/>
  <cols>
    <col min="1" max="1" width="31.44140625" bestFit="1" customWidth="1"/>
    <col min="2" max="2" width="10.5546875" bestFit="1" customWidth="1"/>
    <col min="3" max="3" width="17.21875" bestFit="1" customWidth="1"/>
    <col min="4" max="4" width="66.77734375" bestFit="1" customWidth="1"/>
    <col min="5" max="5" width="58.88671875" style="57" bestFit="1" customWidth="1"/>
    <col min="6" max="6" width="15.77734375" customWidth="1"/>
    <col min="7" max="7" width="16.88671875" customWidth="1"/>
    <col min="8" max="8" width="8.44140625" bestFit="1" customWidth="1"/>
    <col min="9" max="9" width="48.33203125" bestFit="1" customWidth="1"/>
    <col min="10" max="10" width="23.21875" bestFit="1" customWidth="1"/>
    <col min="11" max="11" width="11.6640625" customWidth="1"/>
    <col min="12" max="12" width="20.21875" bestFit="1" customWidth="1"/>
    <col min="13" max="13" width="37.44140625" bestFit="1" customWidth="1"/>
  </cols>
  <sheetData>
    <row r="1" spans="1:13" ht="25.95" customHeight="1" x14ac:dyDescent="0.3">
      <c r="A1" s="55" t="s">
        <v>49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43.2" x14ac:dyDescent="0.3">
      <c r="A2" s="35" t="s">
        <v>34</v>
      </c>
      <c r="B2" s="35" t="s">
        <v>2</v>
      </c>
      <c r="C2" s="35" t="s">
        <v>48</v>
      </c>
      <c r="D2" s="35" t="s">
        <v>37</v>
      </c>
      <c r="E2" s="35" t="s">
        <v>3</v>
      </c>
      <c r="F2" s="35" t="s">
        <v>35</v>
      </c>
      <c r="G2" s="35" t="s">
        <v>0</v>
      </c>
      <c r="H2" s="35" t="s">
        <v>7</v>
      </c>
      <c r="I2" s="35" t="s">
        <v>36</v>
      </c>
      <c r="J2" s="35" t="s">
        <v>4</v>
      </c>
      <c r="K2" s="35" t="s">
        <v>5</v>
      </c>
      <c r="L2" s="35" t="s">
        <v>1</v>
      </c>
      <c r="M2" s="35" t="s">
        <v>50</v>
      </c>
    </row>
    <row r="3" spans="1:13" x14ac:dyDescent="0.3">
      <c r="A3" s="35">
        <v>1</v>
      </c>
      <c r="B3" s="59">
        <v>45972</v>
      </c>
      <c r="C3" t="s">
        <v>66</v>
      </c>
      <c r="D3" t="s">
        <v>143</v>
      </c>
      <c r="E3" t="s">
        <v>142</v>
      </c>
      <c r="F3" t="s">
        <v>13</v>
      </c>
      <c r="G3" t="s">
        <v>9</v>
      </c>
      <c r="H3" s="61" t="s">
        <v>43</v>
      </c>
      <c r="I3" s="57" t="s">
        <v>144</v>
      </c>
      <c r="J3" t="s">
        <v>147</v>
      </c>
      <c r="K3" s="96">
        <v>45982</v>
      </c>
      <c r="L3" s="57" t="s">
        <v>70</v>
      </c>
      <c r="M3" t="s">
        <v>141</v>
      </c>
    </row>
    <row r="4" spans="1:13" x14ac:dyDescent="0.3">
      <c r="A4" s="35">
        <v>2</v>
      </c>
      <c r="B4" s="59">
        <v>45972</v>
      </c>
      <c r="C4" t="s">
        <v>38</v>
      </c>
      <c r="D4" t="s">
        <v>140</v>
      </c>
      <c r="E4" t="s">
        <v>139</v>
      </c>
      <c r="F4" t="s">
        <v>14</v>
      </c>
      <c r="G4" t="s">
        <v>9</v>
      </c>
      <c r="H4" s="63" t="s">
        <v>9</v>
      </c>
      <c r="I4" s="57" t="s">
        <v>144</v>
      </c>
      <c r="J4" t="s">
        <v>147</v>
      </c>
      <c r="K4" s="96">
        <v>45982</v>
      </c>
      <c r="L4" s="57" t="s">
        <v>71</v>
      </c>
      <c r="M4" t="s">
        <v>138</v>
      </c>
    </row>
    <row r="5" spans="1:13" x14ac:dyDescent="0.3">
      <c r="A5" s="35">
        <v>3</v>
      </c>
      <c r="B5" s="59">
        <v>45972</v>
      </c>
      <c r="C5" t="s">
        <v>38</v>
      </c>
      <c r="D5" t="s">
        <v>137</v>
      </c>
      <c r="E5" t="s">
        <v>136</v>
      </c>
      <c r="F5" t="s">
        <v>14</v>
      </c>
      <c r="G5" t="s">
        <v>10</v>
      </c>
      <c r="H5" s="60" t="s">
        <v>10</v>
      </c>
      <c r="I5" s="57" t="s">
        <v>144</v>
      </c>
      <c r="J5" t="s">
        <v>147</v>
      </c>
      <c r="K5" s="96">
        <v>45982</v>
      </c>
      <c r="L5" s="57" t="s">
        <v>72</v>
      </c>
      <c r="M5" t="s">
        <v>135</v>
      </c>
    </row>
    <row r="6" spans="1:13" x14ac:dyDescent="0.3">
      <c r="A6" s="35">
        <v>4</v>
      </c>
      <c r="B6" s="59">
        <v>45972</v>
      </c>
      <c r="C6" t="s">
        <v>39</v>
      </c>
      <c r="D6" t="s">
        <v>134</v>
      </c>
      <c r="E6" t="s">
        <v>133</v>
      </c>
      <c r="F6" t="s">
        <v>15</v>
      </c>
      <c r="G6" t="s">
        <v>9</v>
      </c>
      <c r="H6" s="60" t="s">
        <v>10</v>
      </c>
      <c r="I6" s="57" t="s">
        <v>145</v>
      </c>
      <c r="J6" t="s">
        <v>147</v>
      </c>
      <c r="K6" s="96">
        <v>45982</v>
      </c>
      <c r="L6" s="57" t="s">
        <v>70</v>
      </c>
      <c r="M6" t="s">
        <v>132</v>
      </c>
    </row>
    <row r="7" spans="1:13" x14ac:dyDescent="0.3">
      <c r="A7" s="35">
        <v>5</v>
      </c>
      <c r="B7" s="59">
        <v>45972</v>
      </c>
      <c r="C7" t="s">
        <v>67</v>
      </c>
      <c r="D7" t="s">
        <v>131</v>
      </c>
      <c r="E7" t="s">
        <v>130</v>
      </c>
      <c r="F7" t="s">
        <v>14</v>
      </c>
      <c r="G7" t="s">
        <v>10</v>
      </c>
      <c r="H7" s="63" t="s">
        <v>9</v>
      </c>
      <c r="I7" s="57" t="s">
        <v>144</v>
      </c>
      <c r="J7" t="s">
        <v>147</v>
      </c>
      <c r="K7" s="96">
        <v>45982</v>
      </c>
      <c r="L7" s="57" t="s">
        <v>70</v>
      </c>
      <c r="M7" t="s">
        <v>73</v>
      </c>
    </row>
    <row r="8" spans="1:13" x14ac:dyDescent="0.3">
      <c r="A8" s="35">
        <v>6</v>
      </c>
      <c r="B8" s="59">
        <v>45972</v>
      </c>
      <c r="C8" t="s">
        <v>111</v>
      </c>
      <c r="D8" t="s">
        <v>129</v>
      </c>
      <c r="E8" t="s">
        <v>128</v>
      </c>
      <c r="F8" t="s">
        <v>14</v>
      </c>
      <c r="G8" t="s">
        <v>9</v>
      </c>
      <c r="H8" s="62" t="s">
        <v>11</v>
      </c>
      <c r="I8" s="57" t="s">
        <v>146</v>
      </c>
      <c r="J8" t="s">
        <v>147</v>
      </c>
      <c r="K8" s="96">
        <v>45982</v>
      </c>
      <c r="L8" s="57" t="s">
        <v>70</v>
      </c>
      <c r="M8" t="s">
        <v>127</v>
      </c>
    </row>
    <row r="9" spans="1:13" x14ac:dyDescent="0.3">
      <c r="A9" s="35">
        <v>7</v>
      </c>
      <c r="B9" s="59">
        <v>45976</v>
      </c>
      <c r="C9" t="s">
        <v>68</v>
      </c>
      <c r="D9" t="s">
        <v>126</v>
      </c>
      <c r="E9" t="s">
        <v>125</v>
      </c>
      <c r="F9" t="s">
        <v>15</v>
      </c>
      <c r="G9" t="s">
        <v>10</v>
      </c>
      <c r="H9" s="63" t="s">
        <v>9</v>
      </c>
      <c r="I9" s="57" t="s">
        <v>144</v>
      </c>
      <c r="J9" t="s">
        <v>147</v>
      </c>
      <c r="K9" s="96">
        <v>45982</v>
      </c>
      <c r="L9" s="57" t="s">
        <v>72</v>
      </c>
      <c r="M9" t="s">
        <v>124</v>
      </c>
    </row>
    <row r="10" spans="1:13" x14ac:dyDescent="0.3">
      <c r="A10" s="35">
        <v>8</v>
      </c>
      <c r="B10" s="59">
        <v>45976</v>
      </c>
      <c r="C10" t="s">
        <v>66</v>
      </c>
      <c r="D10" t="s">
        <v>123</v>
      </c>
      <c r="E10" t="s">
        <v>122</v>
      </c>
      <c r="F10" t="s">
        <v>14</v>
      </c>
      <c r="G10" t="s">
        <v>9</v>
      </c>
      <c r="H10" s="63" t="s">
        <v>9</v>
      </c>
      <c r="I10" s="57" t="s">
        <v>144</v>
      </c>
      <c r="J10" t="s">
        <v>147</v>
      </c>
      <c r="K10" s="96">
        <v>45982</v>
      </c>
      <c r="L10" s="57" t="s">
        <v>71</v>
      </c>
      <c r="M10" t="s">
        <v>74</v>
      </c>
    </row>
    <row r="11" spans="1:13" x14ac:dyDescent="0.3">
      <c r="A11" s="35">
        <v>9</v>
      </c>
      <c r="B11" s="59">
        <v>45976</v>
      </c>
      <c r="C11" t="s">
        <v>38</v>
      </c>
      <c r="D11" t="s">
        <v>121</v>
      </c>
      <c r="E11" t="s">
        <v>120</v>
      </c>
      <c r="F11" t="s">
        <v>14</v>
      </c>
      <c r="G11" t="s">
        <v>9</v>
      </c>
      <c r="H11" s="60" t="s">
        <v>10</v>
      </c>
      <c r="I11" s="57" t="s">
        <v>144</v>
      </c>
      <c r="J11" t="s">
        <v>147</v>
      </c>
      <c r="K11" s="96">
        <v>45982</v>
      </c>
      <c r="L11" s="57" t="s">
        <v>70</v>
      </c>
      <c r="M11" t="s">
        <v>75</v>
      </c>
    </row>
    <row r="12" spans="1:13" x14ac:dyDescent="0.3">
      <c r="A12" s="35">
        <v>10</v>
      </c>
      <c r="B12" s="59">
        <v>45976</v>
      </c>
      <c r="C12" t="s">
        <v>47</v>
      </c>
      <c r="D12" t="s">
        <v>119</v>
      </c>
      <c r="E12" t="s">
        <v>118</v>
      </c>
      <c r="F12" t="s">
        <v>14</v>
      </c>
      <c r="G12" t="s">
        <v>10</v>
      </c>
      <c r="H12" s="63" t="s">
        <v>9</v>
      </c>
      <c r="I12" s="57" t="s">
        <v>144</v>
      </c>
      <c r="J12" t="s">
        <v>147</v>
      </c>
      <c r="K12" s="96">
        <v>45982</v>
      </c>
      <c r="L12" s="57" t="s">
        <v>70</v>
      </c>
      <c r="M12" t="s">
        <v>76</v>
      </c>
    </row>
    <row r="13" spans="1:13" x14ac:dyDescent="0.3">
      <c r="A13" s="35">
        <v>11</v>
      </c>
      <c r="B13" s="59">
        <v>45976</v>
      </c>
      <c r="C13" t="s">
        <v>67</v>
      </c>
      <c r="D13" t="s">
        <v>117</v>
      </c>
      <c r="E13" t="s">
        <v>116</v>
      </c>
      <c r="F13" t="s">
        <v>13</v>
      </c>
      <c r="G13" t="s">
        <v>10</v>
      </c>
      <c r="H13" s="60" t="s">
        <v>10</v>
      </c>
      <c r="I13" s="57" t="s">
        <v>145</v>
      </c>
      <c r="J13" t="s">
        <v>147</v>
      </c>
      <c r="K13" s="96">
        <v>45982</v>
      </c>
      <c r="L13" s="57" t="s">
        <v>71</v>
      </c>
      <c r="M13" t="s">
        <v>115</v>
      </c>
    </row>
    <row r="14" spans="1:13" x14ac:dyDescent="0.3">
      <c r="A14" s="35">
        <v>12</v>
      </c>
      <c r="B14" s="59">
        <v>45976</v>
      </c>
      <c r="C14" t="s">
        <v>39</v>
      </c>
      <c r="D14" t="s">
        <v>114</v>
      </c>
      <c r="E14" t="s">
        <v>113</v>
      </c>
      <c r="F14" t="s">
        <v>15</v>
      </c>
      <c r="G14" t="s">
        <v>9</v>
      </c>
      <c r="H14" s="60" t="s">
        <v>10</v>
      </c>
      <c r="I14" s="57" t="s">
        <v>144</v>
      </c>
      <c r="J14" t="s">
        <v>147</v>
      </c>
      <c r="K14" s="96">
        <v>45982</v>
      </c>
      <c r="L14" s="57" t="s">
        <v>70</v>
      </c>
      <c r="M14" t="s">
        <v>112</v>
      </c>
    </row>
    <row r="15" spans="1:13" x14ac:dyDescent="0.3">
      <c r="A15" s="35">
        <v>13</v>
      </c>
      <c r="B15" s="59">
        <v>45976</v>
      </c>
      <c r="C15" t="s">
        <v>111</v>
      </c>
      <c r="D15" t="s">
        <v>110</v>
      </c>
      <c r="E15" t="s">
        <v>109</v>
      </c>
      <c r="F15" t="s">
        <v>14</v>
      </c>
      <c r="G15" t="s">
        <v>10</v>
      </c>
      <c r="H15" s="63" t="s">
        <v>9</v>
      </c>
      <c r="I15" s="57" t="s">
        <v>144</v>
      </c>
      <c r="J15" t="s">
        <v>147</v>
      </c>
      <c r="K15" s="96">
        <v>45982</v>
      </c>
      <c r="L15" s="57" t="s">
        <v>70</v>
      </c>
      <c r="M15" t="s">
        <v>108</v>
      </c>
    </row>
    <row r="16" spans="1:13" x14ac:dyDescent="0.3">
      <c r="A16" s="35">
        <v>14</v>
      </c>
      <c r="B16" s="59">
        <v>45976</v>
      </c>
      <c r="C16" t="s">
        <v>38</v>
      </c>
      <c r="D16" t="s">
        <v>107</v>
      </c>
      <c r="E16" t="s">
        <v>106</v>
      </c>
      <c r="F16" t="s">
        <v>14</v>
      </c>
      <c r="G16" t="s">
        <v>10</v>
      </c>
      <c r="H16" s="63" t="s">
        <v>9</v>
      </c>
      <c r="I16" s="57" t="s">
        <v>144</v>
      </c>
      <c r="J16" t="s">
        <v>147</v>
      </c>
      <c r="K16" s="96">
        <v>45982</v>
      </c>
      <c r="L16" s="57" t="s">
        <v>70</v>
      </c>
      <c r="M16" t="s">
        <v>105</v>
      </c>
    </row>
    <row r="17" spans="1:13" x14ac:dyDescent="0.3">
      <c r="A17" s="35">
        <v>15</v>
      </c>
      <c r="B17" s="59">
        <v>45976</v>
      </c>
      <c r="C17" t="s">
        <v>69</v>
      </c>
      <c r="D17" t="s">
        <v>104</v>
      </c>
      <c r="E17" t="s">
        <v>103</v>
      </c>
      <c r="F17" t="s">
        <v>13</v>
      </c>
      <c r="G17" t="s">
        <v>10</v>
      </c>
      <c r="H17" s="60" t="s">
        <v>10</v>
      </c>
      <c r="I17" s="57" t="s">
        <v>144</v>
      </c>
      <c r="J17" t="s">
        <v>147</v>
      </c>
      <c r="K17" s="96">
        <v>45982</v>
      </c>
      <c r="L17" s="57" t="s">
        <v>70</v>
      </c>
      <c r="M17" t="s">
        <v>102</v>
      </c>
    </row>
    <row r="18" spans="1:13" x14ac:dyDescent="0.3">
      <c r="A18" s="35">
        <v>16</v>
      </c>
      <c r="B18" s="59">
        <v>45976</v>
      </c>
      <c r="C18" t="s">
        <v>38</v>
      </c>
      <c r="D18" t="s">
        <v>101</v>
      </c>
      <c r="E18" t="s">
        <v>100</v>
      </c>
      <c r="F18" t="s">
        <v>14</v>
      </c>
      <c r="G18" t="s">
        <v>9</v>
      </c>
      <c r="H18" s="60" t="s">
        <v>10</v>
      </c>
      <c r="I18" s="57" t="s">
        <v>145</v>
      </c>
      <c r="J18" t="s">
        <v>147</v>
      </c>
      <c r="K18" s="96">
        <v>45982</v>
      </c>
      <c r="L18" s="57" t="s">
        <v>70</v>
      </c>
      <c r="M18" t="s">
        <v>99</v>
      </c>
    </row>
    <row r="19" spans="1:13" x14ac:dyDescent="0.3">
      <c r="A19" s="35">
        <v>17</v>
      </c>
      <c r="B19" s="59">
        <v>45976</v>
      </c>
      <c r="C19" t="s">
        <v>98</v>
      </c>
      <c r="D19" t="s">
        <v>97</v>
      </c>
      <c r="E19" t="s">
        <v>96</v>
      </c>
      <c r="F19" t="s">
        <v>14</v>
      </c>
      <c r="G19" t="s">
        <v>9</v>
      </c>
      <c r="H19" s="63" t="s">
        <v>9</v>
      </c>
      <c r="I19" s="57" t="s">
        <v>144</v>
      </c>
      <c r="J19" t="s">
        <v>147</v>
      </c>
      <c r="K19" s="96">
        <v>45982</v>
      </c>
      <c r="L19" s="57" t="s">
        <v>70</v>
      </c>
      <c r="M19" t="s">
        <v>95</v>
      </c>
    </row>
    <row r="20" spans="1:13" x14ac:dyDescent="0.3">
      <c r="A20" s="35">
        <v>18</v>
      </c>
      <c r="B20" s="59">
        <v>45976</v>
      </c>
      <c r="C20" t="s">
        <v>66</v>
      </c>
      <c r="D20" t="s">
        <v>94</v>
      </c>
      <c r="E20" t="s">
        <v>93</v>
      </c>
      <c r="F20" t="s">
        <v>14</v>
      </c>
      <c r="G20" t="s">
        <v>10</v>
      </c>
      <c r="H20" s="60" t="s">
        <v>10</v>
      </c>
      <c r="I20" s="57" t="s">
        <v>144</v>
      </c>
      <c r="J20" t="s">
        <v>147</v>
      </c>
      <c r="K20" s="96">
        <v>45982</v>
      </c>
      <c r="L20" s="57" t="s">
        <v>70</v>
      </c>
      <c r="M20" t="s">
        <v>92</v>
      </c>
    </row>
    <row r="21" spans="1:13" x14ac:dyDescent="0.3">
      <c r="A21" s="35">
        <v>19</v>
      </c>
      <c r="B21" s="59">
        <v>45976</v>
      </c>
      <c r="C21" t="s">
        <v>91</v>
      </c>
      <c r="D21" t="s">
        <v>90</v>
      </c>
      <c r="E21" t="s">
        <v>89</v>
      </c>
      <c r="F21" t="s">
        <v>15</v>
      </c>
      <c r="G21" t="s">
        <v>9</v>
      </c>
      <c r="H21" s="60" t="s">
        <v>10</v>
      </c>
      <c r="I21" s="57" t="s">
        <v>144</v>
      </c>
      <c r="J21" t="s">
        <v>147</v>
      </c>
      <c r="K21" s="96">
        <v>45982</v>
      </c>
      <c r="L21" s="57" t="s">
        <v>70</v>
      </c>
      <c r="M21" t="s">
        <v>88</v>
      </c>
    </row>
    <row r="22" spans="1:13" x14ac:dyDescent="0.3">
      <c r="A22" s="35">
        <v>20</v>
      </c>
      <c r="B22" s="59">
        <v>45976</v>
      </c>
      <c r="C22" t="s">
        <v>68</v>
      </c>
      <c r="D22" t="s">
        <v>87</v>
      </c>
      <c r="E22" t="s">
        <v>86</v>
      </c>
      <c r="F22" t="s">
        <v>14</v>
      </c>
      <c r="G22" t="s">
        <v>10</v>
      </c>
      <c r="H22" s="60" t="s">
        <v>10</v>
      </c>
      <c r="I22" s="57" t="s">
        <v>144</v>
      </c>
      <c r="J22" t="s">
        <v>147</v>
      </c>
      <c r="K22" s="96">
        <v>45982</v>
      </c>
      <c r="L22" s="57" t="s">
        <v>70</v>
      </c>
      <c r="M22" t="s">
        <v>85</v>
      </c>
    </row>
    <row r="23" spans="1:13" ht="14.4" hidden="1" customHeight="1" x14ac:dyDescent="0.3">
      <c r="A23" s="35">
        <v>15</v>
      </c>
      <c r="C23" t="s">
        <v>67</v>
      </c>
      <c r="D23" t="s">
        <v>84</v>
      </c>
      <c r="E23" t="s">
        <v>83</v>
      </c>
      <c r="F23" t="s">
        <v>13</v>
      </c>
      <c r="G23" t="s">
        <v>9</v>
      </c>
      <c r="H23" s="58" t="s">
        <v>43</v>
      </c>
      <c r="I23" t="s">
        <v>82</v>
      </c>
      <c r="J23" t="s">
        <v>81</v>
      </c>
      <c r="K23" s="59">
        <v>46002</v>
      </c>
      <c r="L23" t="s">
        <v>70</v>
      </c>
      <c r="M23" t="s">
        <v>80</v>
      </c>
    </row>
    <row r="24" spans="1:13" ht="14.4" hidden="1" customHeight="1" x14ac:dyDescent="0.3">
      <c r="A24" s="35">
        <v>15</v>
      </c>
      <c r="K24" s="59">
        <v>46003</v>
      </c>
    </row>
    <row r="25" spans="1:13" ht="14.4" hidden="1" customHeight="1" x14ac:dyDescent="0.3">
      <c r="A25" s="35">
        <v>15</v>
      </c>
      <c r="K25" s="59">
        <v>46004</v>
      </c>
    </row>
    <row r="26" spans="1:13" ht="14.4" hidden="1" customHeight="1" x14ac:dyDescent="0.3">
      <c r="A26" s="35">
        <v>15</v>
      </c>
      <c r="C26" s="43" t="s">
        <v>38</v>
      </c>
      <c r="F26" s="45" t="s">
        <v>43</v>
      </c>
      <c r="G26" s="45" t="s">
        <v>43</v>
      </c>
      <c r="K26" s="59">
        <v>46005</v>
      </c>
      <c r="L26" s="45" t="s">
        <v>33</v>
      </c>
    </row>
    <row r="27" spans="1:13" ht="14.4" hidden="1" customHeight="1" x14ac:dyDescent="0.3">
      <c r="A27" s="35">
        <v>15</v>
      </c>
      <c r="C27" s="43" t="s">
        <v>39</v>
      </c>
      <c r="F27" s="45" t="s">
        <v>9</v>
      </c>
      <c r="G27" s="45" t="s">
        <v>9</v>
      </c>
      <c r="K27" s="59">
        <v>46006</v>
      </c>
      <c r="L27" s="45" t="s">
        <v>27</v>
      </c>
    </row>
    <row r="28" spans="1:13" ht="27.6" hidden="1" customHeight="1" x14ac:dyDescent="0.3">
      <c r="A28" s="35">
        <v>15</v>
      </c>
      <c r="C28" s="44" t="s">
        <v>44</v>
      </c>
      <c r="F28" s="45" t="s">
        <v>10</v>
      </c>
      <c r="G28" s="45" t="s">
        <v>10</v>
      </c>
      <c r="K28" s="59">
        <v>46007</v>
      </c>
      <c r="L28" s="45" t="s">
        <v>28</v>
      </c>
    </row>
    <row r="29" spans="1:13" ht="14.4" hidden="1" customHeight="1" x14ac:dyDescent="0.3">
      <c r="A29" s="35">
        <v>15</v>
      </c>
      <c r="C29" s="43" t="s">
        <v>40</v>
      </c>
      <c r="F29" s="45" t="s">
        <v>11</v>
      </c>
      <c r="G29" s="45" t="s">
        <v>11</v>
      </c>
      <c r="K29" s="59">
        <v>46008</v>
      </c>
      <c r="L29" s="45" t="s">
        <v>29</v>
      </c>
    </row>
    <row r="30" spans="1:13" ht="14.4" hidden="1" customHeight="1" x14ac:dyDescent="0.3">
      <c r="A30" s="35">
        <v>15</v>
      </c>
      <c r="C30" s="43" t="s">
        <v>41</v>
      </c>
      <c r="F30" s="45" t="s">
        <v>45</v>
      </c>
      <c r="G30" s="45" t="s">
        <v>45</v>
      </c>
      <c r="K30" s="59">
        <v>46009</v>
      </c>
    </row>
    <row r="31" spans="1:13" ht="27.6" hidden="1" customHeight="1" x14ac:dyDescent="0.3">
      <c r="A31" s="35">
        <v>15</v>
      </c>
      <c r="C31" s="44" t="s">
        <v>42</v>
      </c>
      <c r="K31" s="59">
        <v>46010</v>
      </c>
    </row>
    <row r="32" spans="1:13" ht="14.4" hidden="1" customHeight="1" x14ac:dyDescent="0.3">
      <c r="A32" s="35">
        <v>15</v>
      </c>
      <c r="K32" s="59">
        <v>46011</v>
      </c>
    </row>
  </sheetData>
  <dataConsolidate/>
  <conditionalFormatting sqref="G4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76">
      <dataBar>
        <cfvo type="num" val="4"/>
        <cfvo type="num" val="1"/>
        <color rgb="FFFF0000"/>
      </dataBar>
    </cfRule>
    <cfRule type="colorScale" priority="77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G4:G5">
    <cfRule type="dataBar" priority="82">
      <dataBar>
        <cfvo type="num" val="4"/>
        <cfvo type="num" val="1"/>
        <color rgb="FFFF0000"/>
      </dataBar>
    </cfRule>
    <cfRule type="colorScale" priority="8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">
    <cfRule type="colorScale" priority="7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69">
      <dataBar>
        <cfvo type="num" val="4"/>
        <cfvo type="num" val="1"/>
        <color rgb="FFFF0000"/>
      </dataBar>
    </cfRule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">
    <cfRule type="colorScale" priority="66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65">
      <dataBar>
        <cfvo type="num" val="4"/>
        <cfvo type="num" val="1"/>
        <color rgb="FFFF0000"/>
      </dataBar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7">
    <cfRule type="colorScale" priority="120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119">
      <dataBar>
        <cfvo type="num" val="4"/>
        <cfvo type="num" val="1"/>
        <color rgb="FFFF0000"/>
      </dataBar>
    </cfRule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8">
    <cfRule type="colorScale" priority="10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00">
      <dataBar>
        <cfvo type="num" val="4"/>
        <cfvo type="num" val="1"/>
        <color rgb="FFFF0000"/>
      </dataBar>
    </cfRule>
  </conditionalFormatting>
  <conditionalFormatting sqref="G9">
    <cfRule type="colorScale" priority="94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93">
      <dataBar>
        <cfvo type="num" val="4"/>
        <cfvo type="num" val="1"/>
        <color rgb="FFFF0000"/>
      </dataBar>
    </cfRule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">
    <cfRule type="colorScale" priority="87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86">
      <dataBar>
        <cfvo type="num" val="4"/>
        <cfvo type="num" val="1"/>
        <color rgb="FFFF0000"/>
      </dataBar>
    </cfRule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2">
      <dataBar>
        <cfvo type="num" val="4"/>
        <cfvo type="num" val="1"/>
        <color rgb="FFFF0000"/>
      </dataBar>
    </cfRule>
    <cfRule type="colorScale" priority="4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3:H10">
    <cfRule type="expression" dxfId="52" priority="114">
      <formula>"Muy Alto"</formula>
    </cfRule>
    <cfRule type="cellIs" dxfId="51" priority="105" operator="equal">
      <formula>"Bajo"</formula>
    </cfRule>
    <cfRule type="cellIs" dxfId="50" priority="107" operator="equal">
      <formula>"Alto"</formula>
    </cfRule>
    <cfRule type="cellIs" dxfId="49" priority="110" operator="equal">
      <formula>"Bajo"</formula>
    </cfRule>
    <cfRule type="cellIs" dxfId="48" priority="106" operator="equal">
      <formula>"Medio"</formula>
    </cfRule>
    <cfRule type="cellIs" dxfId="47" priority="108" operator="equal">
      <formula>"Muy Alto"</formula>
    </cfRule>
    <cfRule type="cellIs" dxfId="46" priority="109" operator="equal">
      <formula>"Bajo "</formula>
    </cfRule>
    <cfRule type="cellIs" dxfId="45" priority="111" operator="equal">
      <formula>"Medio"</formula>
    </cfRule>
    <cfRule type="cellIs" dxfId="44" priority="112" operator="equal">
      <formula>"Alto"</formula>
    </cfRule>
    <cfRule type="containsText" dxfId="43" priority="113" operator="containsText" text="Muy Alto">
      <formula>NOT(ISERROR(SEARCH("Muy Alto",H3)))</formula>
    </cfRule>
  </conditionalFormatting>
  <conditionalFormatting sqref="H4">
    <cfRule type="colorScale" priority="79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78">
      <dataBar>
        <cfvo type="num" val="4"/>
        <cfvo type="num" val="1"/>
        <color rgb="FFFF0000"/>
      </dataBar>
    </cfRule>
    <cfRule type="colorScale" priority="7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5">
    <cfRule type="colorScale" priority="6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2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71">
      <dataBar>
        <cfvo type="num" val="4"/>
        <cfvo type="num" val="1"/>
        <color rgb="FFFF0000"/>
      </dataBar>
    </cfRule>
  </conditionalFormatting>
  <conditionalFormatting sqref="H6">
    <cfRule type="colorScale" priority="62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61">
      <dataBar>
        <cfvo type="num" val="4"/>
        <cfvo type="num" val="1"/>
        <color rgb="FFFF0000"/>
      </dataBar>
    </cfRule>
    <cfRule type="colorScale" priority="6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7">
    <cfRule type="colorScale" priority="11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121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116">
      <dataBar>
        <cfvo type="num" val="4"/>
        <cfvo type="num" val="1"/>
        <color rgb="FFFF0000"/>
      </dataBar>
    </cfRule>
  </conditionalFormatting>
  <conditionalFormatting sqref="H8">
    <cfRule type="colorScale" priority="103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102">
      <dataBar>
        <cfvo type="num" val="4"/>
        <cfvo type="num" val="1"/>
        <color rgb="FFFF0000"/>
      </dataBar>
    </cfRule>
    <cfRule type="colorScale" priority="9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9">
    <cfRule type="colorScale" priority="9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95">
      <dataBar>
        <cfvo type="num" val="4"/>
        <cfvo type="num" val="1"/>
        <color rgb="FFFF0000"/>
      </dataBar>
    </cfRule>
  </conditionalFormatting>
  <conditionalFormatting sqref="H10">
    <cfRule type="colorScale" priority="8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88">
      <dataBar>
        <cfvo type="num" val="4"/>
        <cfvo type="num" val="1"/>
        <color rgb="FFFF0000"/>
      </dataBar>
    </cfRule>
  </conditionalFormatting>
  <conditionalFormatting sqref="H11">
    <cfRule type="cellIs" dxfId="42" priority="50" operator="equal">
      <formula>"Muy Alto"</formula>
    </cfRule>
    <cfRule type="cellIs" dxfId="41" priority="57" operator="equal">
      <formula>"Muy Alto"</formula>
    </cfRule>
    <cfRule type="cellIs" dxfId="40" priority="56" operator="equal">
      <formula>"Alto"</formula>
    </cfRule>
    <cfRule type="cellIs" dxfId="39" priority="55" operator="equal">
      <formula>"Medio"</formula>
    </cfRule>
    <cfRule type="containsText" dxfId="38" priority="54" operator="containsText" text="Muy Alto">
      <formula>NOT(ISERROR(SEARCH("Muy Alto",H11)))</formula>
    </cfRule>
    <cfRule type="cellIs" dxfId="37" priority="53" operator="equal">
      <formula>"Alto"</formula>
    </cfRule>
    <cfRule type="cellIs" dxfId="36" priority="52" operator="equal">
      <formula>"Medio"</formula>
    </cfRule>
    <cfRule type="cellIs" dxfId="35" priority="51" operator="equal">
      <formula>"Bajo"</formula>
    </cfRule>
    <cfRule type="expression" dxfId="34" priority="59">
      <formula>"Muy Alto"</formula>
    </cfRule>
    <cfRule type="cellIs" dxfId="33" priority="49" operator="equal">
      <formula>"Alto"</formula>
    </cfRule>
    <cfRule type="cellIs" dxfId="32" priority="48" operator="equal">
      <formula>"Medio"</formula>
    </cfRule>
    <cfRule type="cellIs" dxfId="31" priority="47" operator="equal">
      <formula>"Bajo"</formula>
    </cfRule>
    <cfRule type="colorScale" priority="45">
      <colorScale>
        <cfvo type="min"/>
        <cfvo type="percentile" val="50"/>
        <cfvo type="max"/>
        <color rgb="FF5A8AC6"/>
        <color rgb="FFFFEB84"/>
        <color rgb="FFF8696B"/>
      </colorScale>
    </cfRule>
    <cfRule type="cellIs" dxfId="30" priority="58" operator="equal">
      <formula>"Bajo "</formula>
    </cfRule>
    <cfRule type="dataBar" priority="44">
      <dataBar>
        <cfvo type="num" val="4"/>
        <cfvo type="num" val="1"/>
        <color rgb="FFFF0000"/>
      </dataBar>
    </cfRule>
    <cfRule type="colorScale" priority="40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2:H13">
    <cfRule type="cellIs" dxfId="29" priority="11" operator="equal">
      <formula>"Alto"</formula>
    </cfRule>
    <cfRule type="cellIs" dxfId="28" priority="4" operator="equal">
      <formula>"Bajo"</formula>
    </cfRule>
    <cfRule type="cellIs" dxfId="27" priority="5" operator="equal">
      <formula>"Medio"</formula>
    </cfRule>
    <cfRule type="cellIs" dxfId="26" priority="6" operator="equal">
      <formula>"Alto"</formula>
    </cfRule>
    <cfRule type="cellIs" dxfId="25" priority="7" operator="equal">
      <formula>"Muy Alto"</formula>
    </cfRule>
    <cfRule type="cellIs" dxfId="24" priority="8" operator="equal">
      <formula>"Bajo "</formula>
    </cfRule>
    <cfRule type="cellIs" dxfId="23" priority="10" operator="equal">
      <formula>"Medio"</formula>
    </cfRule>
    <cfRule type="cellIs" dxfId="22" priority="9" operator="equal">
      <formula>"Bajo"</formula>
    </cfRule>
    <cfRule type="expression" dxfId="21" priority="13">
      <formula>"Muy Alto"</formula>
    </cfRule>
    <cfRule type="containsText" dxfId="20" priority="12" operator="containsText" text="Muy Alto">
      <formula>NOT(ISERROR(SEARCH("Muy Alto",H12)))</formula>
    </cfRule>
  </conditionalFormatting>
  <conditionalFormatting sqref="H13">
    <cfRule type="dataBar" priority="2">
      <dataBar>
        <cfvo type="num" val="4"/>
        <cfvo type="num" val="1"/>
        <color rgb="FFFF0000"/>
      </dataBar>
    </cfRule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H14 H17">
    <cfRule type="cellIs" dxfId="19" priority="34" operator="equal">
      <formula>"Bajo "</formula>
    </cfRule>
    <cfRule type="dataBar" priority="28">
      <dataBar>
        <cfvo type="num" val="4"/>
        <cfvo type="num" val="1"/>
        <color rgb="FFFF0000"/>
      </dataBar>
    </cfRule>
    <cfRule type="colorScale" priority="27">
      <colorScale>
        <cfvo type="min"/>
        <cfvo type="percentile" val="50"/>
        <cfvo type="max"/>
        <color rgb="FF5A8AC6"/>
        <color rgb="FFFFEB84"/>
        <color rgb="FFF8696B"/>
      </colorScale>
    </cfRule>
    <cfRule type="cellIs" dxfId="18" priority="32" operator="equal">
      <formula>"Alto"</formula>
    </cfRule>
    <cfRule type="cellIs" dxfId="17" priority="35" operator="equal">
      <formula>"Bajo"</formula>
    </cfRule>
    <cfRule type="cellIs" dxfId="16" priority="36" operator="equal">
      <formula>"Medio"</formula>
    </cfRule>
    <cfRule type="cellIs" dxfId="15" priority="37" operator="equal">
      <formula>"Alto"</formula>
    </cfRule>
    <cfRule type="containsText" dxfId="14" priority="38" operator="containsText" text="Muy Alto">
      <formula>NOT(ISERROR(SEARCH("Muy Alto",H14)))</formula>
    </cfRule>
    <cfRule type="colorScale" priority="29">
      <colorScale>
        <cfvo type="min"/>
        <cfvo type="percentile" val="50"/>
        <cfvo type="max"/>
        <color rgb="FF5A8AC6"/>
        <color rgb="FFFFEB84"/>
        <color rgb="FFF8696B"/>
      </colorScale>
    </cfRule>
    <cfRule type="expression" dxfId="13" priority="39">
      <formula>"Muy Alto"</formula>
    </cfRule>
    <cfRule type="cellIs" dxfId="12" priority="31" operator="equal">
      <formula>"Medio"</formula>
    </cfRule>
    <cfRule type="cellIs" dxfId="11" priority="33" operator="equal">
      <formula>"Muy Alto"</formula>
    </cfRule>
    <cfRule type="cellIs" dxfId="10" priority="30" operator="equal">
      <formula>"Bajo"</formula>
    </cfRule>
  </conditionalFormatting>
  <conditionalFormatting sqref="H15:H16 H12">
    <cfRule type="colorScale" priority="2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5">
      <colorScale>
        <cfvo type="min"/>
        <cfvo type="percentile" val="50"/>
        <cfvo type="max"/>
        <color rgb="FF5A8AC6"/>
        <color rgb="FFFFEB84"/>
        <color rgb="FFF8696B"/>
      </colorScale>
    </cfRule>
    <cfRule type="dataBar" priority="24">
      <dataBar>
        <cfvo type="num" val="4"/>
        <cfvo type="num" val="1"/>
        <color rgb="FFFF0000"/>
      </dataBar>
    </cfRule>
  </conditionalFormatting>
  <conditionalFormatting sqref="H15:H16">
    <cfRule type="cellIs" dxfId="9" priority="15" operator="equal">
      <formula>"Medio"</formula>
    </cfRule>
    <cfRule type="expression" dxfId="8" priority="23">
      <formula>"Muy Alto"</formula>
    </cfRule>
    <cfRule type="containsText" dxfId="7" priority="22" operator="containsText" text="Muy Alto">
      <formula>NOT(ISERROR(SEARCH("Muy Alto",H15)))</formula>
    </cfRule>
    <cfRule type="cellIs" dxfId="6" priority="21" operator="equal">
      <formula>"Alto"</formula>
    </cfRule>
    <cfRule type="cellIs" dxfId="5" priority="20" operator="equal">
      <formula>"Medio"</formula>
    </cfRule>
    <cfRule type="cellIs" dxfId="4" priority="19" operator="equal">
      <formula>"Bajo"</formula>
    </cfRule>
    <cfRule type="cellIs" dxfId="3" priority="18" operator="equal">
      <formula>"Bajo "</formula>
    </cfRule>
    <cfRule type="cellIs" dxfId="2" priority="16" operator="equal">
      <formula>"Alto"</formula>
    </cfRule>
    <cfRule type="cellIs" dxfId="1" priority="14" operator="equal">
      <formula>"Bajo"</formula>
    </cfRule>
    <cfRule type="cellIs" dxfId="0" priority="17" operator="equal">
      <formula>"Muy Alto"</formula>
    </cfRule>
  </conditionalFormatting>
  <dataValidations count="8">
    <dataValidation type="list" allowBlank="1" showInputMessage="1" showErrorMessage="1" sqref="L3 L5:L11" xr:uid="{00000000-0002-0000-0200-000000000000}">
      <formula1>$L$26:$L$29</formula1>
    </dataValidation>
    <dataValidation type="list" allowBlank="1" showInputMessage="1" showErrorMessage="1" sqref="F3 F5:F11" xr:uid="{00000000-0002-0000-0200-000001000000}">
      <formula1>$F$26:$F$30</formula1>
    </dataValidation>
    <dataValidation type="list" allowBlank="1" showInputMessage="1" showErrorMessage="1" sqref="G3 G5:G11" xr:uid="{00000000-0002-0000-0200-000002000000}">
      <formula1>$G$26:$G$30</formula1>
    </dataValidation>
    <dataValidation type="list" allowBlank="1" showInputMessage="1" showErrorMessage="1" sqref="C3 C5:C11" xr:uid="{00000000-0002-0000-0200-000003000000}">
      <formula1>$C$26:$C$31</formula1>
    </dataValidation>
    <dataValidation type="list" allowBlank="1" showInputMessage="1" showErrorMessage="1" sqref="C4" xr:uid="{00000000-0002-0000-0200-000006000000}">
      <formula1>$C$25:$C$30</formula1>
    </dataValidation>
    <dataValidation type="list" allowBlank="1" showInputMessage="1" showErrorMessage="1" sqref="G4" xr:uid="{00000000-0002-0000-0200-000007000000}">
      <formula1>$G$25:$G$29</formula1>
    </dataValidation>
    <dataValidation type="list" allowBlank="1" showInputMessage="1" showErrorMessage="1" sqref="F4" xr:uid="{00000000-0002-0000-0200-000008000000}">
      <formula1>$F$25:$F$29</formula1>
    </dataValidation>
    <dataValidation type="list" allowBlank="1" showInputMessage="1" showErrorMessage="1" sqref="L4" xr:uid="{00000000-0002-0000-0200-000009000000}">
      <formula1>$L$25:$L$28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C3:H10"/>
  <sheetViews>
    <sheetView workbookViewId="0">
      <selection activeCell="J1" sqref="J1:O34"/>
    </sheetView>
  </sheetViews>
  <sheetFormatPr baseColWidth="10" defaultColWidth="11.5546875" defaultRowHeight="14.4" x14ac:dyDescent="0.3"/>
  <sheetData>
    <row r="3" spans="3:8" ht="15" thickBot="1" x14ac:dyDescent="0.35"/>
    <row r="4" spans="3:8" ht="15" thickBot="1" x14ac:dyDescent="0.35">
      <c r="D4" s="93" t="s">
        <v>0</v>
      </c>
      <c r="E4" s="94"/>
      <c r="F4" s="94"/>
      <c r="G4" s="94"/>
      <c r="H4" s="95"/>
    </row>
    <row r="5" spans="3:8" ht="15" thickBot="1" x14ac:dyDescent="0.35">
      <c r="C5" s="36" t="s">
        <v>26</v>
      </c>
      <c r="D5" s="37" t="s">
        <v>45</v>
      </c>
      <c r="E5" s="37" t="s">
        <v>11</v>
      </c>
      <c r="F5" s="37" t="s">
        <v>10</v>
      </c>
      <c r="G5" s="37" t="s">
        <v>9</v>
      </c>
      <c r="H5" s="37" t="s">
        <v>43</v>
      </c>
    </row>
    <row r="6" spans="3:8" ht="15" thickBot="1" x14ac:dyDescent="0.35">
      <c r="C6" s="38" t="s">
        <v>43</v>
      </c>
      <c r="D6" s="39" t="s">
        <v>10</v>
      </c>
      <c r="E6" s="40" t="s">
        <v>9</v>
      </c>
      <c r="F6" s="40" t="s">
        <v>9</v>
      </c>
      <c r="G6" s="41" t="s">
        <v>43</v>
      </c>
      <c r="H6" s="41" t="s">
        <v>43</v>
      </c>
    </row>
    <row r="7" spans="3:8" ht="15" thickBot="1" x14ac:dyDescent="0.35">
      <c r="C7" s="38" t="s">
        <v>9</v>
      </c>
      <c r="D7" s="39" t="s">
        <v>10</v>
      </c>
      <c r="E7" s="39" t="s">
        <v>10</v>
      </c>
      <c r="F7" s="40" t="s">
        <v>9</v>
      </c>
      <c r="G7" s="41" t="s">
        <v>43</v>
      </c>
      <c r="H7" s="41" t="s">
        <v>43</v>
      </c>
    </row>
    <row r="8" spans="3:8" ht="15" thickBot="1" x14ac:dyDescent="0.35">
      <c r="C8" s="38" t="s">
        <v>10</v>
      </c>
      <c r="D8" s="42" t="s">
        <v>11</v>
      </c>
      <c r="E8" s="39" t="s">
        <v>10</v>
      </c>
      <c r="F8" s="40" t="s">
        <v>9</v>
      </c>
      <c r="G8" s="40" t="s">
        <v>9</v>
      </c>
      <c r="H8" s="41" t="s">
        <v>43</v>
      </c>
    </row>
    <row r="9" spans="3:8" ht="15" thickBot="1" x14ac:dyDescent="0.35">
      <c r="C9" s="38" t="s">
        <v>11</v>
      </c>
      <c r="D9" s="42" t="s">
        <v>11</v>
      </c>
      <c r="E9" s="42" t="s">
        <v>11</v>
      </c>
      <c r="F9" s="39" t="s">
        <v>10</v>
      </c>
      <c r="G9" s="40" t="s">
        <v>9</v>
      </c>
      <c r="H9" s="40" t="s">
        <v>9</v>
      </c>
    </row>
    <row r="10" spans="3:8" ht="15" thickBot="1" x14ac:dyDescent="0.35">
      <c r="C10" s="38" t="s">
        <v>45</v>
      </c>
      <c r="D10" s="42" t="s">
        <v>11</v>
      </c>
      <c r="E10" s="42" t="s">
        <v>11</v>
      </c>
      <c r="F10" s="39" t="s">
        <v>10</v>
      </c>
      <c r="G10" s="39" t="s">
        <v>10</v>
      </c>
      <c r="H10" s="40" t="s">
        <v>9</v>
      </c>
    </row>
  </sheetData>
  <mergeCells count="1">
    <mergeCell ref="D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C3:H10"/>
  <sheetViews>
    <sheetView workbookViewId="0">
      <selection activeCell="G21" sqref="G21"/>
    </sheetView>
  </sheetViews>
  <sheetFormatPr baseColWidth="10" defaultRowHeight="14.4" x14ac:dyDescent="0.3"/>
  <sheetData>
    <row r="3" spans="3:8" ht="15" thickBot="1" x14ac:dyDescent="0.35"/>
    <row r="4" spans="3:8" ht="15" thickBot="1" x14ac:dyDescent="0.35">
      <c r="D4" s="93" t="s">
        <v>0</v>
      </c>
      <c r="E4" s="94"/>
      <c r="F4" s="94"/>
      <c r="G4" s="94"/>
      <c r="H4" s="95"/>
    </row>
    <row r="5" spans="3:8" ht="15" thickBot="1" x14ac:dyDescent="0.35">
      <c r="C5" s="36" t="s">
        <v>26</v>
      </c>
      <c r="D5" s="37" t="s">
        <v>45</v>
      </c>
      <c r="E5" s="37" t="s">
        <v>46</v>
      </c>
      <c r="F5" s="37" t="s">
        <v>10</v>
      </c>
      <c r="G5" s="37" t="s">
        <v>9</v>
      </c>
      <c r="H5" s="37" t="s">
        <v>43</v>
      </c>
    </row>
    <row r="6" spans="3:8" ht="15" thickBot="1" x14ac:dyDescent="0.35">
      <c r="C6" s="38" t="s">
        <v>43</v>
      </c>
      <c r="D6" s="39" t="s">
        <v>10</v>
      </c>
      <c r="E6" s="40" t="s">
        <v>9</v>
      </c>
      <c r="F6" s="40" t="s">
        <v>9</v>
      </c>
      <c r="G6" s="41" t="s">
        <v>43</v>
      </c>
      <c r="H6" s="41" t="s">
        <v>43</v>
      </c>
    </row>
    <row r="7" spans="3:8" ht="15" thickBot="1" x14ac:dyDescent="0.35">
      <c r="C7" s="38" t="s">
        <v>9</v>
      </c>
      <c r="D7" s="39" t="s">
        <v>10</v>
      </c>
      <c r="E7" s="39" t="s">
        <v>10</v>
      </c>
      <c r="F7" s="40" t="s">
        <v>9</v>
      </c>
      <c r="G7" s="41" t="s">
        <v>43</v>
      </c>
      <c r="H7" s="41" t="s">
        <v>43</v>
      </c>
    </row>
    <row r="8" spans="3:8" ht="15" thickBot="1" x14ac:dyDescent="0.35">
      <c r="C8" s="38" t="s">
        <v>10</v>
      </c>
      <c r="D8" s="42" t="s">
        <v>11</v>
      </c>
      <c r="E8" s="39" t="s">
        <v>10</v>
      </c>
      <c r="F8" s="40" t="s">
        <v>9</v>
      </c>
      <c r="G8" s="40" t="s">
        <v>9</v>
      </c>
      <c r="H8" s="41" t="s">
        <v>43</v>
      </c>
    </row>
    <row r="9" spans="3:8" ht="15" thickBot="1" x14ac:dyDescent="0.35">
      <c r="C9" s="38" t="s">
        <v>11</v>
      </c>
      <c r="D9" s="42" t="s">
        <v>11</v>
      </c>
      <c r="E9" s="42" t="s">
        <v>11</v>
      </c>
      <c r="F9" s="39" t="s">
        <v>10</v>
      </c>
      <c r="G9" s="40" t="s">
        <v>9</v>
      </c>
      <c r="H9" s="40" t="s">
        <v>9</v>
      </c>
    </row>
    <row r="10" spans="3:8" ht="15" thickBot="1" x14ac:dyDescent="0.35">
      <c r="C10" s="38" t="s">
        <v>45</v>
      </c>
      <c r="D10" s="42" t="s">
        <v>11</v>
      </c>
      <c r="E10" s="42" t="s">
        <v>11</v>
      </c>
      <c r="F10" s="39" t="s">
        <v>10</v>
      </c>
      <c r="G10" s="39" t="s">
        <v>10</v>
      </c>
      <c r="H10" s="40" t="s">
        <v>9</v>
      </c>
    </row>
  </sheetData>
  <mergeCells count="1"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Información</vt:lpstr>
      <vt:lpstr>Información del Documento</vt:lpstr>
      <vt:lpstr>Registro de Riesgos</vt:lpstr>
      <vt:lpstr>Matriz</vt:lpstr>
      <vt:lpstr>Matriz Impacto y Probabilidad</vt:lpstr>
      <vt:lpstr>Criticidad</vt:lpstr>
      <vt:lpstr>Estado</vt:lpstr>
      <vt:lpstr>EstadoRiesgos</vt:lpstr>
      <vt:lpstr>ImpactoRiesgo</vt:lpstr>
      <vt:lpstr>MatrizRiesgo</vt:lpstr>
      <vt:lpstr>PrioridadRiesgo</vt:lpstr>
      <vt:lpstr>ProbabilidadRiesgo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SNP</dc:creator>
  <cp:lastModifiedBy>bruce larco</cp:lastModifiedBy>
  <cp:lastPrinted>2013-10-22T21:30:56Z</cp:lastPrinted>
  <dcterms:created xsi:type="dcterms:W3CDTF">2012-02-15T17:56:08Z</dcterms:created>
  <dcterms:modified xsi:type="dcterms:W3CDTF">2025-11-21T01:15:38Z</dcterms:modified>
</cp:coreProperties>
</file>