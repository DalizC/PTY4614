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uoc\SM2-2025\CAPSTONE PTY4614-006V\Grupos\Grupo 9 Larco Zurita\Fase 2\Evidencias Grupales\"/>
    </mc:Choice>
  </mc:AlternateContent>
  <xr:revisionPtr revIDLastSave="0" documentId="13_ncr:1_{5F01C2F1-337C-47BF-8566-113D020D08DD}"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<sst xmlns="http://schemas.openxmlformats.org/spreadsheetml/2006/main" count="83" uniqueCount="65">
  <si>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</si>
  <si>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</si>
  <si>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</si>
  <si>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</si>
  <si>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</si>
  <si>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</si>
  <si>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</si>
  <si>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</si>
  <si>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</si>
  <si>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</si>
  <si>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</si>
  <si>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</si>
  <si>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</si>
  <si>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</si>
  <si>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</si>
  <si>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</si>
  <si>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</si>
  <si>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</si>
  <si>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</si>
  <si>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</si>
  <si>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</si>
  <si>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</si>
  <si>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</si>
  <si>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</si>
  <si>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</si>
  <si>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</si>
  <si>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</si>
  <si>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</si>
  <si>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</si>
  <si>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</si>
  <si>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</si>
  <si>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</si>
  <si>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</si>
  <si>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</si>
  <si>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</si>
  <si>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</si>
  <si>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</si>
  <si>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</si>
  <si>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</si>
  <si>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</si>
  <si>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</si>
  <si>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</si>
  <si>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</si>
  <si>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</si>
  <si>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</si>
  <si>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</si>
  <si>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</si>
  <si>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</si>
  <si>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</si>
  <si>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</si>
  <si>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</si>
  <si>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</si>
  <si>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</si>
  <si>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</si>
  <si>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</si>
  <si>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</si>
  <si>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</si>
  <si>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</si>
  <si>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</si>
  <si>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</si>
  <si>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</si>
  <si>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</si>
  <si>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</si>
  <si>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DAVID ANDRES ZURITA CORVALAN</t>
  </si>
  <si>
    <t>BRUCE LARCO RIQUELME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</si>
</sst>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7" fillId="0" borderId="15" xfId="0" applyFont="1" applyFill="1" applyBorder="1" applyAlignment="1">
      <alignment horizontal="lef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8" zoomScaleNormal="100" workbookViewId="0">
      <selection activeCell="B26" sqref="B2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5.8</v>
      </c>
      <c r="G4" s="1"/>
    </row>
    <row r="5" spans="1:11">
      <c r="A5" s="4">
        <v>2</v>
      </c>
      <c r="B5" s="25" t="s">
        <v>64</v>
      </c>
      <c r="C5" s="5">
        <f>EVALUACION2!$C$22</f>
        <v>5.8</v>
      </c>
      <c r="G5" s="1"/>
    </row>
    <row r="6" spans="1:11">
      <c r="A6" s="4">
        <v>3</v>
      </c>
      <c r="B6" s="25"/>
      <c r="C6" s="5">
        <f>EVALUACION2!$C$22</f>
        <v>5.8</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59"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59"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59" t="s">
        <v>6</v>
      </c>
      <c r="D17" s="15" t="str">
        <f t="shared" si="0"/>
        <v/>
      </c>
      <c r="E17" s="15" t="str">
        <f>IF(D17="X",100*0.05,"")</f>
        <v/>
      </c>
      <c r="F17" s="15" t="str">
        <f t="shared" si="1"/>
        <v>X</v>
      </c>
      <c r="G17" s="15">
        <f>IF(F17="X",60*0.05,"")</f>
        <v>3</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59"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59"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6</v>
      </c>
      <c r="D20" s="15" t="str">
        <f>IF($C20=CL,"X","")</f>
        <v/>
      </c>
      <c r="E20" s="15" t="str">
        <f>IF(D20="X",100*0.1,"")</f>
        <v/>
      </c>
      <c r="F20" s="15" t="str">
        <f>IF($C20=L,"X","")</f>
        <v>X</v>
      </c>
      <c r="G20" s="15">
        <f>IF(F20="X",60*0.1,"")</f>
        <v>6</v>
      </c>
      <c r="H20" s="15" t="str">
        <f>IF($C20=ML,"X","")</f>
        <v/>
      </c>
      <c r="I20" s="15" t="str">
        <f>IF(H20="X",30*0.1,"")</f>
        <v/>
      </c>
      <c r="J20" s="15" t="str">
        <f>IF($C20=NL,"X","")</f>
        <v/>
      </c>
      <c r="K20" s="15" t="str">
        <f t="shared" si="5"/>
        <v/>
      </c>
    </row>
    <row r="21" spans="1:11" ht="15.75" customHeight="1" outlineLevel="1">
      <c r="A21" s="41"/>
      <c r="B21" s="27" t="s">
        <v>4</v>
      </c>
      <c r="C21" s="31">
        <f>E21+G21+I21+K21</f>
        <v>84</v>
      </c>
      <c r="D21" s="16"/>
      <c r="E21" s="16">
        <f>SUM(E13:E20)</f>
        <v>60</v>
      </c>
      <c r="F21" s="16"/>
      <c r="G21" s="16">
        <f>SUM(G13:G20)</f>
        <v>24</v>
      </c>
      <c r="H21" s="16"/>
      <c r="I21" s="16">
        <f>SUM(I13:I20)</f>
        <v>0</v>
      </c>
      <c r="J21" s="16"/>
      <c r="K21" s="16">
        <f>SUM(K13:K20)</f>
        <v>0</v>
      </c>
    </row>
    <row r="22" spans="1:11" ht="15.75" customHeight="1" outlineLevel="1">
      <c r="A22" s="43"/>
      <c r="B22" s="30" t="s">
        <v>13</v>
      </c>
      <c r="C22" s="17">
        <f>VLOOKUP(C21,ESCALA_IEP!A2:B202,2,FALSE)</f>
        <v>5.8</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Vina del Mar</cp:lastModifiedBy>
  <dcterms:created xsi:type="dcterms:W3CDTF">2023-08-07T04:08:01Z</dcterms:created>
  <dcterms:modified xsi:type="dcterms:W3CDTF">2025-10-29T23:54:34Z</dcterms:modified>
</cp:coreProperties>
</file>